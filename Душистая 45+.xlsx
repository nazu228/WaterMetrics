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Эксперемент\"/>
    </mc:Choice>
  </mc:AlternateContent>
  <bookViews>
    <workbookView xWindow="-105" yWindow="-105" windowWidth="29040" windowHeight="16440"/>
  </bookViews>
  <sheets>
    <sheet name="06.2026" sheetId="2" r:id="rId1"/>
  </sheets>
  <definedNames>
    <definedName name="_xlnm._FilterDatabase" localSheetId="0" hidden="1">'06.2026'!$D$1:$D$188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5" i="2" l="1"/>
  <c r="G109" i="2" l="1"/>
  <c r="F109" i="2" s="1"/>
  <c r="G88" i="2"/>
  <c r="F88" i="2" s="1"/>
  <c r="G85" i="2"/>
  <c r="F85" i="2" s="1"/>
  <c r="G81" i="2"/>
  <c r="G76" i="2"/>
  <c r="F76" i="2" s="1"/>
  <c r="G35" i="2"/>
  <c r="F35" i="2" s="1"/>
  <c r="G31" i="2"/>
  <c r="F31" i="2" s="1"/>
  <c r="G28" i="2"/>
  <c r="F28" i="2" s="1"/>
  <c r="G17" i="2"/>
  <c r="F17" i="2" s="1"/>
  <c r="D109" i="2"/>
  <c r="C109" i="2" s="1"/>
  <c r="D101" i="2"/>
  <c r="C101" i="2" s="1"/>
  <c r="D88" i="2"/>
  <c r="C88" i="2" s="1"/>
  <c r="D85" i="2"/>
  <c r="D81" i="2"/>
  <c r="C81" i="2" s="1"/>
  <c r="D35" i="2"/>
  <c r="D31" i="2"/>
  <c r="C31" i="2" s="1"/>
  <c r="D28" i="2"/>
  <c r="D17" i="2"/>
  <c r="C6" i="2"/>
  <c r="F7" i="2"/>
  <c r="F8" i="2"/>
  <c r="F9" i="2"/>
  <c r="F10" i="2"/>
  <c r="F11" i="2"/>
  <c r="F12" i="2"/>
  <c r="F13" i="2"/>
  <c r="F14" i="2"/>
  <c r="F15" i="2"/>
  <c r="F16" i="2"/>
  <c r="F18" i="2"/>
  <c r="F19" i="2"/>
  <c r="F20" i="2"/>
  <c r="F21" i="2"/>
  <c r="F22" i="2"/>
  <c r="F23" i="2"/>
  <c r="F24" i="2"/>
  <c r="F25" i="2"/>
  <c r="F26" i="2"/>
  <c r="F27" i="2"/>
  <c r="F29" i="2"/>
  <c r="F30" i="2"/>
  <c r="F32" i="2"/>
  <c r="F33" i="2"/>
  <c r="F34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7" i="2"/>
  <c r="F78" i="2"/>
  <c r="F79" i="2"/>
  <c r="F80" i="2"/>
  <c r="F81" i="2"/>
  <c r="F82" i="2"/>
  <c r="F83" i="2"/>
  <c r="F84" i="2"/>
  <c r="F86" i="2"/>
  <c r="F87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2" i="2"/>
  <c r="C83" i="2"/>
  <c r="C84" i="2"/>
  <c r="C85" i="2"/>
  <c r="C86" i="2"/>
  <c r="C87" i="2"/>
  <c r="C89" i="2"/>
  <c r="C90" i="2"/>
  <c r="C91" i="2"/>
  <c r="C92" i="2"/>
  <c r="C93" i="2"/>
  <c r="C94" i="2"/>
  <c r="C95" i="2"/>
  <c r="C96" i="2"/>
  <c r="C97" i="2"/>
  <c r="C98" i="2"/>
  <c r="C99" i="2"/>
  <c r="C100" i="2"/>
  <c r="C102" i="2"/>
  <c r="C103" i="2"/>
  <c r="C104" i="2"/>
  <c r="C105" i="2"/>
  <c r="C106" i="2"/>
  <c r="C107" i="2"/>
  <c r="C108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D176" i="2" l="1"/>
  <c r="G176" i="2"/>
</calcChain>
</file>

<file path=xl/sharedStrings.xml><?xml version="1.0" encoding="utf-8"?>
<sst xmlns="http://schemas.openxmlformats.org/spreadsheetml/2006/main" count="184" uniqueCount="179">
  <si>
    <t>Холодная вода</t>
  </si>
  <si>
    <t>Холодная вода (ГВС)</t>
  </si>
  <si>
    <t xml:space="preserve">№1 </t>
  </si>
  <si>
    <t>Предыдущее показание</t>
  </si>
  <si>
    <t>Текущее показание</t>
  </si>
  <si>
    <t>Расход</t>
  </si>
  <si>
    <t>Квартира 1</t>
  </si>
  <si>
    <t>Квартира 2</t>
  </si>
  <si>
    <t>Квартира 4</t>
  </si>
  <si>
    <t>Квартира 5</t>
  </si>
  <si>
    <t>Квартира 6</t>
  </si>
  <si>
    <t>Квартира 7</t>
  </si>
  <si>
    <t>Квартира 8</t>
  </si>
  <si>
    <t>Квартира 9</t>
  </si>
  <si>
    <t>Квартира 10</t>
  </si>
  <si>
    <t>Квартира 11</t>
  </si>
  <si>
    <t>Квартира 12</t>
  </si>
  <si>
    <t>Квартира 13</t>
  </si>
  <si>
    <t>Квартира 14</t>
  </si>
  <si>
    <t>Квартира 15</t>
  </si>
  <si>
    <t>Квартира 16</t>
  </si>
  <si>
    <t>Квартира 17</t>
  </si>
  <si>
    <t>Квартира 18</t>
  </si>
  <si>
    <t>Квартира 19</t>
  </si>
  <si>
    <t>Квартира 20</t>
  </si>
  <si>
    <t>Квартира 21</t>
  </si>
  <si>
    <t>Квартира 22</t>
  </si>
  <si>
    <t>Квартира 23</t>
  </si>
  <si>
    <t>Квартира 24</t>
  </si>
  <si>
    <t>Квартира 25</t>
  </si>
  <si>
    <t>Квартира 26</t>
  </si>
  <si>
    <t>Квартира 27</t>
  </si>
  <si>
    <t>Квартира 28</t>
  </si>
  <si>
    <t>Квартира 29</t>
  </si>
  <si>
    <t>Квартира 30</t>
  </si>
  <si>
    <t>Квартира 31</t>
  </si>
  <si>
    <t>Квартира 32</t>
  </si>
  <si>
    <t>Квартира 33</t>
  </si>
  <si>
    <t>Квартира 34</t>
  </si>
  <si>
    <t>Квартира 35</t>
  </si>
  <si>
    <t>Квартира 36</t>
  </si>
  <si>
    <t>Квартира 37</t>
  </si>
  <si>
    <t>Квартира 38</t>
  </si>
  <si>
    <t>Квартира 39</t>
  </si>
  <si>
    <t>Квартира 40</t>
  </si>
  <si>
    <t>Квартира 41</t>
  </si>
  <si>
    <t>Квартира 42</t>
  </si>
  <si>
    <t>Квартира 43</t>
  </si>
  <si>
    <t>Квартира 44</t>
  </si>
  <si>
    <t>Квартира 45</t>
  </si>
  <si>
    <t>Квартира 46</t>
  </si>
  <si>
    <t>Квартира 47</t>
  </si>
  <si>
    <t>Квартира 48</t>
  </si>
  <si>
    <t>Квартира 49</t>
  </si>
  <si>
    <t>Квартира 50</t>
  </si>
  <si>
    <t>Квартира 51</t>
  </si>
  <si>
    <t>Квартира 52</t>
  </si>
  <si>
    <t>Квартира 53</t>
  </si>
  <si>
    <t>Квартира 54</t>
  </si>
  <si>
    <t>Квартира 55</t>
  </si>
  <si>
    <t>Квартира 56</t>
  </si>
  <si>
    <t>Квартира 57</t>
  </si>
  <si>
    <t>Квартира 58</t>
  </si>
  <si>
    <t>Квартира 59</t>
  </si>
  <si>
    <t>Квартира 60</t>
  </si>
  <si>
    <t>Квартира 61</t>
  </si>
  <si>
    <t>Квартира 62</t>
  </si>
  <si>
    <t>Квартира 63</t>
  </si>
  <si>
    <t>Квартира 64</t>
  </si>
  <si>
    <t>Квартира 65</t>
  </si>
  <si>
    <t>Квартира 66</t>
  </si>
  <si>
    <t>Квартира 67</t>
  </si>
  <si>
    <t>Квартира 68</t>
  </si>
  <si>
    <t>Квартира 69</t>
  </si>
  <si>
    <t>Квартира 70</t>
  </si>
  <si>
    <t>Квартира 71</t>
  </si>
  <si>
    <t>Квартира 72</t>
  </si>
  <si>
    <t>Квартира 73</t>
  </si>
  <si>
    <t>Квартира 74</t>
  </si>
  <si>
    <t>Квартира 75</t>
  </si>
  <si>
    <t>Квартира 76</t>
  </si>
  <si>
    <t>Квартира 77</t>
  </si>
  <si>
    <t>Квартира 78</t>
  </si>
  <si>
    <t>Квартира 79</t>
  </si>
  <si>
    <t>Квартира 80</t>
  </si>
  <si>
    <t>Квартира 81</t>
  </si>
  <si>
    <t>Квартира 82</t>
  </si>
  <si>
    <t>Квартира 83</t>
  </si>
  <si>
    <t>Квартира 84</t>
  </si>
  <si>
    <t>Квартира 85</t>
  </si>
  <si>
    <t>Квартира 86</t>
  </si>
  <si>
    <t>Квартира 87</t>
  </si>
  <si>
    <t>Квартира 88</t>
  </si>
  <si>
    <t>Квартира 89</t>
  </si>
  <si>
    <t>Квартира 90</t>
  </si>
  <si>
    <t>Квартира 91</t>
  </si>
  <si>
    <t>Квартира 92</t>
  </si>
  <si>
    <t>Квартира 93</t>
  </si>
  <si>
    <t>Квартира 94</t>
  </si>
  <si>
    <t>Квартира 95</t>
  </si>
  <si>
    <t>Квартира 96</t>
  </si>
  <si>
    <t>Квартира 97</t>
  </si>
  <si>
    <t>Квартира 98</t>
  </si>
  <si>
    <t>Квартира 99</t>
  </si>
  <si>
    <t>Квартира 100</t>
  </si>
  <si>
    <t>Квартира 101</t>
  </si>
  <si>
    <t>Квартира 102</t>
  </si>
  <si>
    <t>Квартира 103</t>
  </si>
  <si>
    <t>Квартира 104</t>
  </si>
  <si>
    <t>Квартира 105</t>
  </si>
  <si>
    <t>Квартира 106</t>
  </si>
  <si>
    <t>Квартира 107</t>
  </si>
  <si>
    <t>Квартира 108</t>
  </si>
  <si>
    <t>Квартира 109</t>
  </si>
  <si>
    <t>Квартира 110</t>
  </si>
  <si>
    <t>Квартира 111</t>
  </si>
  <si>
    <t>Квартира 112</t>
  </si>
  <si>
    <t>Квартира 113</t>
  </si>
  <si>
    <t>Квартира 114</t>
  </si>
  <si>
    <t>Квартира 115</t>
  </si>
  <si>
    <t>Квартира 116</t>
  </si>
  <si>
    <t>Квартира 117</t>
  </si>
  <si>
    <t>Квартира 118</t>
  </si>
  <si>
    <t>Квартира 119</t>
  </si>
  <si>
    <t>Квартира 120</t>
  </si>
  <si>
    <t>Квартира 121</t>
  </si>
  <si>
    <t>Квартира 122</t>
  </si>
  <si>
    <t>Квартира 123</t>
  </si>
  <si>
    <t>Квартира 124</t>
  </si>
  <si>
    <t>Квартира 125</t>
  </si>
  <si>
    <t>Квартира 126</t>
  </si>
  <si>
    <t>Квартира 127</t>
  </si>
  <si>
    <t>Квартира 128</t>
  </si>
  <si>
    <t>Квартира 129</t>
  </si>
  <si>
    <t>Квартира 130</t>
  </si>
  <si>
    <t>Квартира 131</t>
  </si>
  <si>
    <t>Квартира 132</t>
  </si>
  <si>
    <t>Квартира 133</t>
  </si>
  <si>
    <t>Квартира 134</t>
  </si>
  <si>
    <t>Квартира 135</t>
  </si>
  <si>
    <t>Квартира 136</t>
  </si>
  <si>
    <t>Квартира 137</t>
  </si>
  <si>
    <t>Квартира 138</t>
  </si>
  <si>
    <t>Квартира 139</t>
  </si>
  <si>
    <t>Квартира 140</t>
  </si>
  <si>
    <t>Квартира 141</t>
  </si>
  <si>
    <t>Квартира 142</t>
  </si>
  <si>
    <t>Квартира 143</t>
  </si>
  <si>
    <t>Квартира 144</t>
  </si>
  <si>
    <t>Квартира 145</t>
  </si>
  <si>
    <t>Квартира 146</t>
  </si>
  <si>
    <t>Квартира 147</t>
  </si>
  <si>
    <t>Квартира 148</t>
  </si>
  <si>
    <t>Квартира 149</t>
  </si>
  <si>
    <t>Квартира 150</t>
  </si>
  <si>
    <t>Квартира 151</t>
  </si>
  <si>
    <t>Квартира 152</t>
  </si>
  <si>
    <t>Квартира 153</t>
  </si>
  <si>
    <t>Квартира 154</t>
  </si>
  <si>
    <t>Квартира 155</t>
  </si>
  <si>
    <t>Квартира 156</t>
  </si>
  <si>
    <t>Квартира 157</t>
  </si>
  <si>
    <t>Квартира 158</t>
  </si>
  <si>
    <t>Квартира 159</t>
  </si>
  <si>
    <t>Квартира 160</t>
  </si>
  <si>
    <t>Квартира 161</t>
  </si>
  <si>
    <t>Квартира 162</t>
  </si>
  <si>
    <t>Квартира 163</t>
  </si>
  <si>
    <t>Квартира 164</t>
  </si>
  <si>
    <t>Квартира 165</t>
  </si>
  <si>
    <t>Квартира 166</t>
  </si>
  <si>
    <t>Квартира 167</t>
  </si>
  <si>
    <t>Квартира 168</t>
  </si>
  <si>
    <t>Помещение 48</t>
  </si>
  <si>
    <t>Итого</t>
  </si>
  <si>
    <t>Душистая 45</t>
  </si>
  <si>
    <t>Закрытые счетчики</t>
  </si>
  <si>
    <t xml:space="preserve">Директор ООО "Южный город"  Бочарова В.М.               ____________________  
</t>
  </si>
  <si>
    <t>РЕЕСТР ТЕКУЩИХ И ПРЕДЫДУЩИХ ПОКАЗАНИЙ ИПУ ХОЛОДНОЙ И ГОРЯЧЕЙ ВОДЫ ЗА ИЮНЬ 2026 ГОДА В РАЗРЕЗЕ КАЖДОГО ЛИЦЕВОГО СЧЕТА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</si>
</sst>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0.#####"/>
    <numFmt numFmtId="165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.25"/>
      <color rgb="FF000000"/>
      <name val="Tahoma"/>
      <family val="2"/>
      <charset val="204"/>
    </font>
    <font>
      <sz val="8.25"/>
      <color rgb="FF1E1E1E"/>
      <name val="Tahoma"/>
      <family val="2"/>
      <charset val="204"/>
    </font>
    <font>
      <sz val="11"/>
      <color theme="1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left" vertical="center" readingOrder="1"/>
    </xf>
    <xf numFmtId="164" fontId="3" fillId="0" borderId="1" xfId="0" applyNumberFormat="1" applyFont="1" applyBorder="1" applyAlignment="1">
      <alignment horizontal="right" vertical="center" readingOrder="1"/>
    </xf>
    <xf numFmtId="164" fontId="2" fillId="0" borderId="1" xfId="0" applyNumberFormat="1" applyFont="1" applyBorder="1" applyAlignment="1">
      <alignment horizontal="right" vertical="center" readingOrder="1"/>
    </xf>
    <xf numFmtId="49" fontId="2" fillId="0" borderId="1" xfId="0" applyNumberFormat="1" applyFont="1" applyBorder="1" applyAlignment="1">
      <alignment horizontal="left" vertical="center" shrinkToFit="1" readingOrder="1"/>
    </xf>
    <xf numFmtId="0" fontId="2" fillId="0" borderId="1" xfId="0" applyFont="1" applyBorder="1" applyAlignment="1">
      <alignment horizontal="left" vertical="center" readingOrder="1"/>
    </xf>
    <xf numFmtId="0" fontId="4" fillId="0" borderId="0" xfId="0" applyFont="1"/>
    <xf numFmtId="165" fontId="0" fillId="0" borderId="0" xfId="0" applyNumberFormat="1"/>
    <xf numFmtId="49" fontId="2" fillId="0" borderId="1" xfId="0" applyNumberFormat="1" applyFont="1" applyBorder="1" applyAlignment="1">
      <alignment horizontal="center" vertical="center" readingOrder="1"/>
    </xf>
    <xf numFmtId="165" fontId="5" fillId="0" borderId="0" xfId="0" applyNumberFormat="1" applyFont="1"/>
    <xf numFmtId="0" fontId="4" fillId="0" borderId="0" xfId="0" applyFont="1" applyAlignment="1">
      <alignment horizontal="right"/>
    </xf>
    <xf numFmtId="0" fontId="0" fillId="0" borderId="0" xfId="0" applyAlignment="1">
      <alignment horizontal="center" shrinkToFit="1"/>
    </xf>
    <xf numFmtId="0" fontId="1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"/>
  <sheetViews>
    <sheetView tabSelected="1" workbookViewId="0">
      <pane xSplit="1" ySplit="5" topLeftCell="B159" activePane="bottomRight" state="frozen"/>
      <selection pane="topRight" activeCell="B1" sqref="B1"/>
      <selection pane="bottomLeft" activeCell="A6" sqref="A6"/>
      <selection pane="bottomRight" activeCell="E176" sqref="E176:F176"/>
    </sheetView>
  </sheetViews>
  <sheetFormatPr defaultColWidth="9.140625" defaultRowHeight="15" x14ac:dyDescent="0.25"/>
  <cols>
    <col min="1" max="7" width="18.7109375" customWidth="1"/>
  </cols>
  <sheetData>
    <row r="1" spans="1:7" x14ac:dyDescent="0.25">
      <c r="A1" s="13" t="s">
        <v>178</v>
      </c>
      <c r="B1" s="13"/>
      <c r="C1" s="13"/>
      <c r="D1" s="13"/>
      <c r="E1" s="13"/>
      <c r="F1" s="13"/>
      <c r="G1" s="13"/>
    </row>
    <row r="2" spans="1:7" s="1" customFormat="1" x14ac:dyDescent="0.25">
      <c r="A2" s="14" t="s">
        <v>175</v>
      </c>
      <c r="B2" s="14"/>
      <c r="C2" s="14"/>
      <c r="D2" s="14"/>
      <c r="E2" s="14"/>
      <c r="F2" s="14"/>
      <c r="G2" s="14"/>
    </row>
    <row r="3" spans="1:7" ht="15" customHeight="1" x14ac:dyDescent="0.25">
      <c r="B3" s="15" t="s">
        <v>0</v>
      </c>
      <c r="C3" s="15"/>
      <c r="D3" s="15"/>
      <c r="E3" s="15" t="s">
        <v>1</v>
      </c>
      <c r="F3" s="15"/>
      <c r="G3" s="15"/>
    </row>
    <row r="4" spans="1:7" ht="15" customHeight="1" x14ac:dyDescent="0.25">
      <c r="B4" s="15" t="s">
        <v>2</v>
      </c>
      <c r="C4" s="15"/>
      <c r="D4" s="15"/>
      <c r="E4" s="15" t="s">
        <v>2</v>
      </c>
      <c r="F4" s="15"/>
      <c r="G4" s="15"/>
    </row>
    <row r="5" spans="1:7" ht="24.75" customHeight="1" x14ac:dyDescent="0.25">
      <c r="B5" s="2" t="s">
        <v>3</v>
      </c>
      <c r="C5" s="2" t="s">
        <v>4</v>
      </c>
      <c r="D5" s="10" t="s">
        <v>5</v>
      </c>
      <c r="E5" s="2" t="s">
        <v>3</v>
      </c>
      <c r="F5" s="2" t="s">
        <v>4</v>
      </c>
      <c r="G5" s="10" t="s">
        <v>5</v>
      </c>
    </row>
    <row r="6" spans="1:7" ht="15" customHeight="1" x14ac:dyDescent="0.25">
      <c r="A6" s="3" t="s">
        <v>6</v>
      </c>
      <c r="B6" s="4">
        <v>4.04</v>
      </c>
      <c r="C6" s="4">
        <f>B6+D6</f>
        <v>12.120000000000001</v>
      </c>
      <c r="D6" s="4">
        <v>8.08</v>
      </c>
      <c r="E6" s="5">
        <v>111.599</v>
      </c>
      <c r="F6" s="4">
        <f>E6+G6</f>
        <v>111.88800000000001</v>
      </c>
      <c r="G6" s="4">
        <v>0.28899999999999998</v>
      </c>
    </row>
    <row r="7" spans="1:7" ht="15" customHeight="1" x14ac:dyDescent="0.25">
      <c r="A7" s="3" t="s">
        <v>7</v>
      </c>
      <c r="B7" s="4">
        <v>996</v>
      </c>
      <c r="C7" s="4">
        <f t="shared" ref="C7:C70" si="0">B7+D7</f>
        <v>1012</v>
      </c>
      <c r="D7" s="4">
        <v>16</v>
      </c>
      <c r="E7" s="4">
        <v>320</v>
      </c>
      <c r="F7" s="4">
        <f t="shared" ref="F7:F70" si="1">E7+G7</f>
        <v>325</v>
      </c>
      <c r="G7" s="4">
        <v>5</v>
      </c>
    </row>
    <row r="8" spans="1:7" ht="15" customHeight="1" x14ac:dyDescent="0.25">
      <c r="A8" s="3" t="s">
        <v>8</v>
      </c>
      <c r="B8" s="4">
        <v>54</v>
      </c>
      <c r="C8" s="4">
        <f t="shared" si="0"/>
        <v>54.167000000000002</v>
      </c>
      <c r="D8" s="4">
        <v>0.16700000000000001</v>
      </c>
      <c r="E8" s="4">
        <v>42</v>
      </c>
      <c r="F8" s="4">
        <f t="shared" si="1"/>
        <v>42.832999999999998</v>
      </c>
      <c r="G8" s="4">
        <v>0.83299999999999996</v>
      </c>
    </row>
    <row r="9" spans="1:7" ht="15" customHeight="1" x14ac:dyDescent="0.25">
      <c r="A9" s="3" t="s">
        <v>9</v>
      </c>
      <c r="B9" s="4">
        <v>150</v>
      </c>
      <c r="C9" s="4">
        <f t="shared" si="0"/>
        <v>159</v>
      </c>
      <c r="D9" s="4">
        <v>9</v>
      </c>
      <c r="E9" s="4">
        <v>59</v>
      </c>
      <c r="F9" s="4">
        <f t="shared" si="1"/>
        <v>61.667000000000002</v>
      </c>
      <c r="G9" s="4">
        <v>2.6669999999999998</v>
      </c>
    </row>
    <row r="10" spans="1:7" ht="15" customHeight="1" x14ac:dyDescent="0.25">
      <c r="A10" s="3" t="s">
        <v>10</v>
      </c>
      <c r="B10" s="4">
        <v>35</v>
      </c>
      <c r="C10" s="4">
        <f t="shared" si="0"/>
        <v>38</v>
      </c>
      <c r="D10" s="4">
        <v>3</v>
      </c>
      <c r="E10" s="4">
        <v>17</v>
      </c>
      <c r="F10" s="4">
        <f t="shared" si="1"/>
        <v>17</v>
      </c>
      <c r="G10" s="4">
        <v>0</v>
      </c>
    </row>
    <row r="11" spans="1:7" ht="15" customHeight="1" x14ac:dyDescent="0.25">
      <c r="A11" s="3" t="s">
        <v>11</v>
      </c>
      <c r="B11" s="4">
        <v>3</v>
      </c>
      <c r="C11" s="4">
        <f t="shared" si="0"/>
        <v>9</v>
      </c>
      <c r="D11" s="4">
        <v>6</v>
      </c>
      <c r="E11" s="4">
        <v>2</v>
      </c>
      <c r="F11" s="4">
        <f t="shared" si="1"/>
        <v>4</v>
      </c>
      <c r="G11" s="4">
        <v>2</v>
      </c>
    </row>
    <row r="12" spans="1:7" ht="15" customHeight="1" x14ac:dyDescent="0.25">
      <c r="A12" s="3" t="s">
        <v>12</v>
      </c>
      <c r="B12" s="4">
        <v>170</v>
      </c>
      <c r="C12" s="4">
        <f t="shared" si="0"/>
        <v>177</v>
      </c>
      <c r="D12" s="4">
        <v>7</v>
      </c>
      <c r="E12" s="4">
        <v>81</v>
      </c>
      <c r="F12" s="4">
        <f t="shared" si="1"/>
        <v>83</v>
      </c>
      <c r="G12" s="4">
        <v>2</v>
      </c>
    </row>
    <row r="13" spans="1:7" ht="15" customHeight="1" x14ac:dyDescent="0.25">
      <c r="A13" s="3" t="s">
        <v>13</v>
      </c>
      <c r="B13" s="4">
        <v>224</v>
      </c>
      <c r="C13" s="4">
        <f t="shared" si="0"/>
        <v>232.833</v>
      </c>
      <c r="D13" s="4">
        <v>8.8330000000000002</v>
      </c>
      <c r="E13" s="4">
        <v>130</v>
      </c>
      <c r="F13" s="4">
        <f t="shared" si="1"/>
        <v>136.167</v>
      </c>
      <c r="G13" s="4">
        <v>6.1669999999999998</v>
      </c>
    </row>
    <row r="14" spans="1:7" ht="15" customHeight="1" x14ac:dyDescent="0.25">
      <c r="A14" s="3" t="s">
        <v>14</v>
      </c>
      <c r="B14" s="4">
        <v>461</v>
      </c>
      <c r="C14" s="4">
        <f t="shared" si="0"/>
        <v>469</v>
      </c>
      <c r="D14" s="4">
        <v>8</v>
      </c>
      <c r="E14" s="4">
        <v>36</v>
      </c>
      <c r="F14" s="4">
        <f t="shared" si="1"/>
        <v>40</v>
      </c>
      <c r="G14" s="4">
        <v>4</v>
      </c>
    </row>
    <row r="15" spans="1:7" ht="15" customHeight="1" x14ac:dyDescent="0.25">
      <c r="A15" s="3" t="s">
        <v>15</v>
      </c>
      <c r="B15" s="4">
        <v>52</v>
      </c>
      <c r="C15" s="4">
        <f t="shared" si="0"/>
        <v>56</v>
      </c>
      <c r="D15" s="4">
        <v>4</v>
      </c>
      <c r="E15" s="4">
        <v>112</v>
      </c>
      <c r="F15" s="4">
        <f t="shared" si="1"/>
        <v>113</v>
      </c>
      <c r="G15" s="4">
        <v>1</v>
      </c>
    </row>
    <row r="16" spans="1:7" ht="15" customHeight="1" x14ac:dyDescent="0.25">
      <c r="A16" s="3" t="s">
        <v>16</v>
      </c>
      <c r="B16" s="4">
        <v>571</v>
      </c>
      <c r="C16" s="4">
        <f t="shared" si="0"/>
        <v>573</v>
      </c>
      <c r="D16" s="5">
        <v>2</v>
      </c>
      <c r="E16" s="4">
        <v>2.512</v>
      </c>
      <c r="F16" s="4">
        <f t="shared" si="1"/>
        <v>2.5299999999999998</v>
      </c>
      <c r="G16" s="5">
        <v>1.7999999999999999E-2</v>
      </c>
    </row>
    <row r="17" spans="1:7" ht="15" customHeight="1" x14ac:dyDescent="0.25">
      <c r="A17" s="3" t="s">
        <v>17</v>
      </c>
      <c r="B17" s="4">
        <v>4.04</v>
      </c>
      <c r="C17" s="4">
        <f t="shared" si="0"/>
        <v>8.08</v>
      </c>
      <c r="D17" s="4">
        <f>B17</f>
        <v>4.04</v>
      </c>
      <c r="E17" s="4">
        <v>2.65</v>
      </c>
      <c r="F17" s="4">
        <f t="shared" si="1"/>
        <v>5.3</v>
      </c>
      <c r="G17" s="4">
        <f>E17</f>
        <v>2.65</v>
      </c>
    </row>
    <row r="18" spans="1:7" ht="15" customHeight="1" x14ac:dyDescent="0.25">
      <c r="A18" s="3" t="s">
        <v>18</v>
      </c>
      <c r="B18" s="4">
        <v>264</v>
      </c>
      <c r="C18" s="4">
        <f t="shared" si="0"/>
        <v>271</v>
      </c>
      <c r="D18" s="4">
        <v>7</v>
      </c>
      <c r="E18" s="4">
        <v>80</v>
      </c>
      <c r="F18" s="4">
        <f t="shared" si="1"/>
        <v>82</v>
      </c>
      <c r="G18" s="4">
        <v>2</v>
      </c>
    </row>
    <row r="19" spans="1:7" ht="15" customHeight="1" x14ac:dyDescent="0.25">
      <c r="A19" s="3" t="s">
        <v>19</v>
      </c>
      <c r="B19" s="4">
        <v>24</v>
      </c>
      <c r="C19" s="4">
        <f t="shared" si="0"/>
        <v>27</v>
      </c>
      <c r="D19" s="4">
        <v>3</v>
      </c>
      <c r="E19" s="4">
        <v>16</v>
      </c>
      <c r="F19" s="4">
        <f t="shared" si="1"/>
        <v>16</v>
      </c>
      <c r="G19" s="4">
        <v>0</v>
      </c>
    </row>
    <row r="20" spans="1:7" ht="15" customHeight="1" x14ac:dyDescent="0.25">
      <c r="A20" s="3" t="s">
        <v>20</v>
      </c>
      <c r="B20" s="4">
        <v>647</v>
      </c>
      <c r="C20" s="4">
        <f t="shared" si="0"/>
        <v>655</v>
      </c>
      <c r="D20" s="4">
        <v>8</v>
      </c>
      <c r="E20" s="4">
        <v>207</v>
      </c>
      <c r="F20" s="4">
        <f t="shared" si="1"/>
        <v>209</v>
      </c>
      <c r="G20" s="4">
        <v>2</v>
      </c>
    </row>
    <row r="21" spans="1:7" ht="15" customHeight="1" x14ac:dyDescent="0.25">
      <c r="A21" s="3" t="s">
        <v>21</v>
      </c>
      <c r="B21" s="4">
        <v>939</v>
      </c>
      <c r="C21" s="4">
        <f t="shared" si="0"/>
        <v>948</v>
      </c>
      <c r="D21" s="4">
        <v>9</v>
      </c>
      <c r="E21" s="4">
        <v>50</v>
      </c>
      <c r="F21" s="4">
        <f t="shared" si="1"/>
        <v>52</v>
      </c>
      <c r="G21" s="4">
        <v>2</v>
      </c>
    </row>
    <row r="22" spans="1:7" ht="15" customHeight="1" x14ac:dyDescent="0.25">
      <c r="A22" s="3" t="s">
        <v>22</v>
      </c>
      <c r="B22" s="4">
        <v>28</v>
      </c>
      <c r="C22" s="4">
        <f t="shared" si="0"/>
        <v>31</v>
      </c>
      <c r="D22" s="4">
        <v>3</v>
      </c>
      <c r="E22" s="4">
        <v>21</v>
      </c>
      <c r="F22" s="4">
        <f t="shared" si="1"/>
        <v>23</v>
      </c>
      <c r="G22" s="4">
        <v>2</v>
      </c>
    </row>
    <row r="23" spans="1:7" ht="15" customHeight="1" x14ac:dyDescent="0.25">
      <c r="A23" s="3" t="s">
        <v>23</v>
      </c>
      <c r="B23" s="4">
        <v>106.667</v>
      </c>
      <c r="C23" s="4">
        <f t="shared" si="0"/>
        <v>109</v>
      </c>
      <c r="D23" s="4">
        <v>2.3330000000000002</v>
      </c>
      <c r="E23" s="4">
        <v>186.333</v>
      </c>
      <c r="F23" s="4">
        <f t="shared" si="1"/>
        <v>196</v>
      </c>
      <c r="G23" s="4">
        <v>9.6669999999999998</v>
      </c>
    </row>
    <row r="24" spans="1:7" ht="15" customHeight="1" x14ac:dyDescent="0.25">
      <c r="A24" s="3" t="s">
        <v>24</v>
      </c>
      <c r="B24" s="4">
        <v>331</v>
      </c>
      <c r="C24" s="4">
        <f t="shared" si="0"/>
        <v>340</v>
      </c>
      <c r="D24" s="4">
        <v>9</v>
      </c>
      <c r="E24" s="4">
        <v>164</v>
      </c>
      <c r="F24" s="4">
        <f t="shared" si="1"/>
        <v>166</v>
      </c>
      <c r="G24" s="4">
        <v>2</v>
      </c>
    </row>
    <row r="25" spans="1:7" ht="15" customHeight="1" x14ac:dyDescent="0.25">
      <c r="A25" s="3" t="s">
        <v>25</v>
      </c>
      <c r="B25" s="4">
        <v>566.63900000000001</v>
      </c>
      <c r="C25" s="4">
        <f t="shared" si="0"/>
        <v>584</v>
      </c>
      <c r="D25" s="4">
        <v>17.361000000000001</v>
      </c>
      <c r="E25" s="4">
        <v>317.55500000000001</v>
      </c>
      <c r="F25" s="4">
        <f t="shared" si="1"/>
        <v>323</v>
      </c>
      <c r="G25" s="4">
        <v>5.4450000000000003</v>
      </c>
    </row>
    <row r="26" spans="1:7" ht="15" customHeight="1" x14ac:dyDescent="0.25">
      <c r="A26" s="3" t="s">
        <v>26</v>
      </c>
      <c r="B26" s="4">
        <v>1241</v>
      </c>
      <c r="C26" s="4">
        <f t="shared" si="0"/>
        <v>1249</v>
      </c>
      <c r="D26" s="4">
        <v>8</v>
      </c>
      <c r="E26" s="4">
        <v>293</v>
      </c>
      <c r="F26" s="4">
        <f t="shared" si="1"/>
        <v>295</v>
      </c>
      <c r="G26" s="4">
        <v>2</v>
      </c>
    </row>
    <row r="27" spans="1:7" ht="15" customHeight="1" x14ac:dyDescent="0.25">
      <c r="A27" s="3" t="s">
        <v>27</v>
      </c>
      <c r="B27" s="4">
        <v>628</v>
      </c>
      <c r="C27" s="4">
        <f t="shared" si="0"/>
        <v>637</v>
      </c>
      <c r="D27" s="4">
        <v>9</v>
      </c>
      <c r="E27" s="4">
        <v>189</v>
      </c>
      <c r="F27" s="4">
        <f t="shared" si="1"/>
        <v>194</v>
      </c>
      <c r="G27" s="4">
        <v>5</v>
      </c>
    </row>
    <row r="28" spans="1:7" ht="15" customHeight="1" x14ac:dyDescent="0.25">
      <c r="A28" s="3" t="s">
        <v>28</v>
      </c>
      <c r="B28" s="4">
        <v>4.04</v>
      </c>
      <c r="C28" s="4">
        <f t="shared" si="0"/>
        <v>8.08</v>
      </c>
      <c r="D28" s="4">
        <f>B28</f>
        <v>4.04</v>
      </c>
      <c r="E28" s="4">
        <v>2.65</v>
      </c>
      <c r="F28" s="4">
        <f t="shared" si="1"/>
        <v>5.3</v>
      </c>
      <c r="G28" s="4">
        <f>E28</f>
        <v>2.65</v>
      </c>
    </row>
    <row r="29" spans="1:7" ht="15" customHeight="1" x14ac:dyDescent="0.25">
      <c r="A29" s="3" t="s">
        <v>29</v>
      </c>
      <c r="B29" s="4">
        <v>50</v>
      </c>
      <c r="C29" s="4">
        <f t="shared" si="0"/>
        <v>50</v>
      </c>
      <c r="D29" s="4">
        <v>0</v>
      </c>
      <c r="E29" s="4">
        <v>24.472000000000001</v>
      </c>
      <c r="F29" s="4">
        <f t="shared" si="1"/>
        <v>24.472000000000001</v>
      </c>
      <c r="G29" s="4">
        <v>0</v>
      </c>
    </row>
    <row r="30" spans="1:7" ht="15" customHeight="1" x14ac:dyDescent="0.25">
      <c r="A30" s="3" t="s">
        <v>30</v>
      </c>
      <c r="B30" s="4">
        <v>170</v>
      </c>
      <c r="C30" s="4">
        <f t="shared" si="0"/>
        <v>180</v>
      </c>
      <c r="D30" s="4">
        <v>10</v>
      </c>
      <c r="E30" s="4">
        <v>85</v>
      </c>
      <c r="F30" s="4">
        <f t="shared" si="1"/>
        <v>87</v>
      </c>
      <c r="G30" s="4">
        <v>2</v>
      </c>
    </row>
    <row r="31" spans="1:7" ht="15" customHeight="1" x14ac:dyDescent="0.25">
      <c r="A31" s="3" t="s">
        <v>31</v>
      </c>
      <c r="B31" s="4">
        <v>4.04</v>
      </c>
      <c r="C31" s="4">
        <f t="shared" si="0"/>
        <v>8.08</v>
      </c>
      <c r="D31" s="4">
        <f>B31</f>
        <v>4.04</v>
      </c>
      <c r="E31" s="4">
        <v>2.65</v>
      </c>
      <c r="F31" s="4">
        <f t="shared" si="1"/>
        <v>5.3</v>
      </c>
      <c r="G31" s="4">
        <f>E31</f>
        <v>2.65</v>
      </c>
    </row>
    <row r="32" spans="1:7" ht="15" customHeight="1" x14ac:dyDescent="0.25">
      <c r="A32" s="3" t="s">
        <v>32</v>
      </c>
      <c r="B32" s="4">
        <v>189</v>
      </c>
      <c r="C32" s="4">
        <f t="shared" si="0"/>
        <v>189</v>
      </c>
      <c r="D32" s="4">
        <v>0</v>
      </c>
      <c r="E32" s="4">
        <v>91</v>
      </c>
      <c r="F32" s="4">
        <f t="shared" si="1"/>
        <v>91</v>
      </c>
      <c r="G32" s="4">
        <v>0</v>
      </c>
    </row>
    <row r="33" spans="1:7" ht="15" customHeight="1" x14ac:dyDescent="0.25">
      <c r="A33" s="3" t="s">
        <v>33</v>
      </c>
      <c r="B33" s="4">
        <v>10</v>
      </c>
      <c r="C33" s="4">
        <f t="shared" si="0"/>
        <v>11</v>
      </c>
      <c r="D33" s="4">
        <v>1</v>
      </c>
      <c r="E33" s="4">
        <v>26</v>
      </c>
      <c r="F33" s="4">
        <f t="shared" si="1"/>
        <v>27</v>
      </c>
      <c r="G33" s="4">
        <v>1</v>
      </c>
    </row>
    <row r="34" spans="1:7" ht="15" customHeight="1" x14ac:dyDescent="0.25">
      <c r="A34" s="3" t="s">
        <v>34</v>
      </c>
      <c r="B34" s="4">
        <v>647</v>
      </c>
      <c r="C34" s="4">
        <f t="shared" si="0"/>
        <v>650</v>
      </c>
      <c r="D34" s="4">
        <v>3</v>
      </c>
      <c r="E34" s="4">
        <v>296</v>
      </c>
      <c r="F34" s="4">
        <f t="shared" si="1"/>
        <v>297</v>
      </c>
      <c r="G34" s="4">
        <v>1</v>
      </c>
    </row>
    <row r="35" spans="1:7" ht="15" customHeight="1" x14ac:dyDescent="0.25">
      <c r="A35" s="3" t="s">
        <v>35</v>
      </c>
      <c r="B35" s="4">
        <v>4.04</v>
      </c>
      <c r="C35" s="4">
        <f t="shared" si="0"/>
        <v>8.08</v>
      </c>
      <c r="D35" s="4">
        <f>B35</f>
        <v>4.04</v>
      </c>
      <c r="E35" s="4">
        <v>2.65</v>
      </c>
      <c r="F35" s="4">
        <f t="shared" si="1"/>
        <v>5.3</v>
      </c>
      <c r="G35" s="4">
        <f>E35</f>
        <v>2.65</v>
      </c>
    </row>
    <row r="36" spans="1:7" ht="15" customHeight="1" x14ac:dyDescent="0.25">
      <c r="A36" s="3" t="s">
        <v>36</v>
      </c>
      <c r="B36" s="4">
        <v>89</v>
      </c>
      <c r="C36" s="4">
        <f t="shared" si="0"/>
        <v>95</v>
      </c>
      <c r="D36" s="4">
        <v>6</v>
      </c>
      <c r="E36" s="4">
        <v>61</v>
      </c>
      <c r="F36" s="4">
        <f t="shared" si="1"/>
        <v>63</v>
      </c>
      <c r="G36" s="4">
        <v>2</v>
      </c>
    </row>
    <row r="37" spans="1:7" ht="15" customHeight="1" x14ac:dyDescent="0.25">
      <c r="A37" s="3" t="s">
        <v>37</v>
      </c>
      <c r="B37" s="4">
        <v>540</v>
      </c>
      <c r="C37" s="4">
        <f t="shared" si="0"/>
        <v>545.33299999999997</v>
      </c>
      <c r="D37" s="4">
        <v>5.3330000000000002</v>
      </c>
      <c r="E37" s="4">
        <v>187</v>
      </c>
      <c r="F37" s="4">
        <f t="shared" si="1"/>
        <v>188.5</v>
      </c>
      <c r="G37" s="4">
        <v>1.5</v>
      </c>
    </row>
    <row r="38" spans="1:7" ht="15" customHeight="1" x14ac:dyDescent="0.25">
      <c r="A38" s="3" t="s">
        <v>38</v>
      </c>
      <c r="B38" s="4">
        <v>855.66700000000003</v>
      </c>
      <c r="C38" s="4">
        <f t="shared" si="0"/>
        <v>862.27800000000002</v>
      </c>
      <c r="D38" s="4">
        <v>6.6109999999999998</v>
      </c>
      <c r="E38" s="4">
        <v>81.5</v>
      </c>
      <c r="F38" s="4">
        <f t="shared" si="1"/>
        <v>84.917000000000002</v>
      </c>
      <c r="G38" s="4">
        <v>3.4169999999999998</v>
      </c>
    </row>
    <row r="39" spans="1:7" ht="15" customHeight="1" x14ac:dyDescent="0.25">
      <c r="A39" s="3" t="s">
        <v>39</v>
      </c>
      <c r="B39" s="4">
        <v>995</v>
      </c>
      <c r="C39" s="4">
        <f t="shared" si="0"/>
        <v>999</v>
      </c>
      <c r="D39" s="4">
        <v>4</v>
      </c>
      <c r="E39" s="4">
        <v>93</v>
      </c>
      <c r="F39" s="4">
        <f t="shared" si="1"/>
        <v>94</v>
      </c>
      <c r="G39" s="4">
        <v>1</v>
      </c>
    </row>
    <row r="40" spans="1:7" ht="15" customHeight="1" x14ac:dyDescent="0.25">
      <c r="A40" s="3" t="s">
        <v>40</v>
      </c>
      <c r="B40" s="4">
        <v>648</v>
      </c>
      <c r="C40" s="4">
        <f t="shared" si="0"/>
        <v>652</v>
      </c>
      <c r="D40" s="4">
        <v>4</v>
      </c>
      <c r="E40" s="4">
        <v>301</v>
      </c>
      <c r="F40" s="4">
        <f t="shared" si="1"/>
        <v>302</v>
      </c>
      <c r="G40" s="4">
        <v>1</v>
      </c>
    </row>
    <row r="41" spans="1:7" ht="15" customHeight="1" x14ac:dyDescent="0.25">
      <c r="A41" s="3" t="s">
        <v>41</v>
      </c>
      <c r="B41" s="4">
        <v>252</v>
      </c>
      <c r="C41" s="4">
        <f t="shared" si="0"/>
        <v>253</v>
      </c>
      <c r="D41" s="4">
        <v>1</v>
      </c>
      <c r="E41" s="4">
        <v>130</v>
      </c>
      <c r="F41" s="4">
        <f t="shared" si="1"/>
        <v>131</v>
      </c>
      <c r="G41" s="4">
        <v>1</v>
      </c>
    </row>
    <row r="42" spans="1:7" ht="15" customHeight="1" x14ac:dyDescent="0.25">
      <c r="A42" s="3" t="s">
        <v>42</v>
      </c>
      <c r="B42" s="4">
        <v>113.333</v>
      </c>
      <c r="C42" s="4">
        <f t="shared" si="0"/>
        <v>124</v>
      </c>
      <c r="D42" s="4">
        <v>10.667</v>
      </c>
      <c r="E42" s="4">
        <v>34.667000000000002</v>
      </c>
      <c r="F42" s="4">
        <f t="shared" si="1"/>
        <v>43</v>
      </c>
      <c r="G42" s="4">
        <v>8.3330000000000002</v>
      </c>
    </row>
    <row r="43" spans="1:7" ht="15" customHeight="1" x14ac:dyDescent="0.25">
      <c r="A43" s="3" t="s">
        <v>43</v>
      </c>
      <c r="B43" s="4">
        <v>655</v>
      </c>
      <c r="C43" s="4">
        <f t="shared" si="0"/>
        <v>657</v>
      </c>
      <c r="D43" s="4">
        <v>2</v>
      </c>
      <c r="E43" s="4">
        <v>366</v>
      </c>
      <c r="F43" s="4">
        <f t="shared" si="1"/>
        <v>367</v>
      </c>
      <c r="G43" s="4">
        <v>1</v>
      </c>
    </row>
    <row r="44" spans="1:7" ht="15" customHeight="1" x14ac:dyDescent="0.25">
      <c r="A44" s="3" t="s">
        <v>44</v>
      </c>
      <c r="B44" s="4">
        <v>113</v>
      </c>
      <c r="C44" s="4">
        <f t="shared" si="0"/>
        <v>115</v>
      </c>
      <c r="D44" s="4">
        <v>2</v>
      </c>
      <c r="E44" s="4">
        <v>78</v>
      </c>
      <c r="F44" s="4">
        <f t="shared" si="1"/>
        <v>79</v>
      </c>
      <c r="G44" s="4">
        <v>1</v>
      </c>
    </row>
    <row r="45" spans="1:7" ht="15" customHeight="1" x14ac:dyDescent="0.25">
      <c r="A45" s="3" t="s">
        <v>45</v>
      </c>
      <c r="B45" s="4">
        <v>113</v>
      </c>
      <c r="C45" s="4">
        <f t="shared" si="0"/>
        <v>117</v>
      </c>
      <c r="D45" s="4">
        <v>4</v>
      </c>
      <c r="E45" s="4">
        <v>58</v>
      </c>
      <c r="F45" s="4">
        <f t="shared" si="1"/>
        <v>59</v>
      </c>
      <c r="G45" s="4">
        <v>1</v>
      </c>
    </row>
    <row r="46" spans="1:7" ht="15" customHeight="1" x14ac:dyDescent="0.25">
      <c r="A46" s="3" t="s">
        <v>46</v>
      </c>
      <c r="B46" s="4">
        <v>123</v>
      </c>
      <c r="C46" s="4">
        <f t="shared" si="0"/>
        <v>127</v>
      </c>
      <c r="D46" s="4">
        <v>4</v>
      </c>
      <c r="E46" s="4">
        <v>60</v>
      </c>
      <c r="F46" s="4">
        <f t="shared" si="1"/>
        <v>61</v>
      </c>
      <c r="G46" s="4">
        <v>1</v>
      </c>
    </row>
    <row r="47" spans="1:7" ht="15" customHeight="1" x14ac:dyDescent="0.25">
      <c r="A47" s="3" t="s">
        <v>47</v>
      </c>
      <c r="B47" s="4">
        <v>12</v>
      </c>
      <c r="C47" s="4">
        <f t="shared" si="0"/>
        <v>18</v>
      </c>
      <c r="D47" s="4">
        <v>6</v>
      </c>
      <c r="E47" s="4">
        <v>8</v>
      </c>
      <c r="F47" s="4">
        <f t="shared" si="1"/>
        <v>10</v>
      </c>
      <c r="G47" s="4">
        <v>2</v>
      </c>
    </row>
    <row r="48" spans="1:7" ht="15" customHeight="1" x14ac:dyDescent="0.25">
      <c r="A48" s="3" t="s">
        <v>48</v>
      </c>
      <c r="B48" s="4">
        <v>1543</v>
      </c>
      <c r="C48" s="4">
        <f t="shared" si="0"/>
        <v>1555</v>
      </c>
      <c r="D48" s="4">
        <v>12</v>
      </c>
      <c r="E48" s="4">
        <v>51</v>
      </c>
      <c r="F48" s="4">
        <f t="shared" si="1"/>
        <v>55</v>
      </c>
      <c r="G48" s="4">
        <v>4</v>
      </c>
    </row>
    <row r="49" spans="1:7" ht="15" customHeight="1" x14ac:dyDescent="0.25">
      <c r="A49" s="3" t="s">
        <v>49</v>
      </c>
      <c r="B49" s="4">
        <v>120</v>
      </c>
      <c r="C49" s="4">
        <f t="shared" si="0"/>
        <v>126</v>
      </c>
      <c r="D49" s="4">
        <v>6</v>
      </c>
      <c r="E49" s="4">
        <v>29</v>
      </c>
      <c r="F49" s="4">
        <f t="shared" si="1"/>
        <v>30</v>
      </c>
      <c r="G49" s="4">
        <v>1</v>
      </c>
    </row>
    <row r="50" spans="1:7" ht="15" customHeight="1" x14ac:dyDescent="0.25">
      <c r="A50" s="3" t="s">
        <v>50</v>
      </c>
      <c r="B50" s="4">
        <v>34</v>
      </c>
      <c r="C50" s="4">
        <f t="shared" si="0"/>
        <v>36</v>
      </c>
      <c r="D50" s="4">
        <v>2</v>
      </c>
      <c r="E50" s="4">
        <v>20</v>
      </c>
      <c r="F50" s="4">
        <f t="shared" si="1"/>
        <v>20</v>
      </c>
      <c r="G50" s="4">
        <v>0</v>
      </c>
    </row>
    <row r="51" spans="1:7" ht="15" customHeight="1" x14ac:dyDescent="0.25">
      <c r="A51" s="3" t="s">
        <v>51</v>
      </c>
      <c r="B51" s="4">
        <v>31</v>
      </c>
      <c r="C51" s="4">
        <f t="shared" si="0"/>
        <v>31</v>
      </c>
      <c r="D51" s="4">
        <v>0</v>
      </c>
      <c r="E51" s="4">
        <v>10</v>
      </c>
      <c r="F51" s="4">
        <f t="shared" si="1"/>
        <v>10</v>
      </c>
      <c r="G51" s="4">
        <v>0</v>
      </c>
    </row>
    <row r="52" spans="1:7" ht="15" customHeight="1" x14ac:dyDescent="0.25">
      <c r="A52" s="3" t="s">
        <v>52</v>
      </c>
      <c r="B52" s="4">
        <v>589.9</v>
      </c>
      <c r="C52" s="4">
        <f t="shared" si="0"/>
        <v>592.5</v>
      </c>
      <c r="D52" s="4">
        <v>2.6</v>
      </c>
      <c r="E52" s="4">
        <v>207.4</v>
      </c>
      <c r="F52" s="4">
        <f t="shared" si="1"/>
        <v>208.5</v>
      </c>
      <c r="G52" s="4">
        <v>1.1000000000000001</v>
      </c>
    </row>
    <row r="53" spans="1:7" ht="15" customHeight="1" x14ac:dyDescent="0.25">
      <c r="A53" s="3" t="s">
        <v>53</v>
      </c>
      <c r="B53" s="4">
        <v>831</v>
      </c>
      <c r="C53" s="4">
        <f t="shared" si="0"/>
        <v>839</v>
      </c>
      <c r="D53" s="4">
        <v>8</v>
      </c>
      <c r="E53" s="4">
        <v>270</v>
      </c>
      <c r="F53" s="4">
        <f t="shared" si="1"/>
        <v>271</v>
      </c>
      <c r="G53" s="4">
        <v>1</v>
      </c>
    </row>
    <row r="54" spans="1:7" ht="15" customHeight="1" x14ac:dyDescent="0.25">
      <c r="A54" s="3" t="s">
        <v>54</v>
      </c>
      <c r="B54" s="4">
        <v>380</v>
      </c>
      <c r="C54" s="4">
        <f t="shared" si="0"/>
        <v>389</v>
      </c>
      <c r="D54" s="4">
        <v>9</v>
      </c>
      <c r="E54" s="4">
        <v>182</v>
      </c>
      <c r="F54" s="4">
        <f t="shared" si="1"/>
        <v>186</v>
      </c>
      <c r="G54" s="4">
        <v>4</v>
      </c>
    </row>
    <row r="55" spans="1:7" ht="15" customHeight="1" x14ac:dyDescent="0.25">
      <c r="A55" s="3" t="s">
        <v>55</v>
      </c>
      <c r="B55" s="4">
        <v>746</v>
      </c>
      <c r="C55" s="4">
        <f t="shared" si="0"/>
        <v>751</v>
      </c>
      <c r="D55" s="4">
        <v>5</v>
      </c>
      <c r="E55" s="4">
        <v>19</v>
      </c>
      <c r="F55" s="4">
        <f t="shared" si="1"/>
        <v>20</v>
      </c>
      <c r="G55" s="4">
        <v>1</v>
      </c>
    </row>
    <row r="56" spans="1:7" ht="15" customHeight="1" x14ac:dyDescent="0.25">
      <c r="A56" s="3" t="s">
        <v>56</v>
      </c>
      <c r="B56" s="4">
        <v>818.54300000000001</v>
      </c>
      <c r="C56" s="4">
        <f t="shared" si="0"/>
        <v>843.92499999999995</v>
      </c>
      <c r="D56" s="4">
        <v>25.382000000000001</v>
      </c>
      <c r="E56" s="4">
        <v>305.91500000000002</v>
      </c>
      <c r="F56" s="4">
        <f t="shared" si="1"/>
        <v>305.91500000000002</v>
      </c>
      <c r="G56" s="4">
        <v>0</v>
      </c>
    </row>
    <row r="57" spans="1:7" ht="15" customHeight="1" x14ac:dyDescent="0.25">
      <c r="A57" s="3" t="s">
        <v>57</v>
      </c>
      <c r="B57" s="4">
        <v>0</v>
      </c>
      <c r="C57" s="4">
        <f t="shared" si="0"/>
        <v>0</v>
      </c>
      <c r="D57" s="4">
        <v>0</v>
      </c>
      <c r="E57" s="4">
        <v>0</v>
      </c>
      <c r="F57" s="4">
        <f t="shared" si="1"/>
        <v>0</v>
      </c>
      <c r="G57" s="4">
        <v>0</v>
      </c>
    </row>
    <row r="58" spans="1:7" ht="15" customHeight="1" x14ac:dyDescent="0.25">
      <c r="A58" s="3" t="s">
        <v>58</v>
      </c>
      <c r="B58" s="4">
        <v>211</v>
      </c>
      <c r="C58" s="4">
        <f t="shared" si="0"/>
        <v>215</v>
      </c>
      <c r="D58" s="4">
        <v>4</v>
      </c>
      <c r="E58" s="4">
        <v>90</v>
      </c>
      <c r="F58" s="4">
        <f t="shared" si="1"/>
        <v>90</v>
      </c>
      <c r="G58" s="4">
        <v>0</v>
      </c>
    </row>
    <row r="59" spans="1:7" ht="15" customHeight="1" x14ac:dyDescent="0.25">
      <c r="A59" s="3" t="s">
        <v>59</v>
      </c>
      <c r="B59" s="4">
        <v>932</v>
      </c>
      <c r="C59" s="4">
        <f t="shared" si="0"/>
        <v>942</v>
      </c>
      <c r="D59" s="4">
        <v>10</v>
      </c>
      <c r="E59" s="4">
        <v>290</v>
      </c>
      <c r="F59" s="4">
        <f t="shared" si="1"/>
        <v>292</v>
      </c>
      <c r="G59" s="4">
        <v>2</v>
      </c>
    </row>
    <row r="60" spans="1:7" ht="15" customHeight="1" x14ac:dyDescent="0.25">
      <c r="A60" s="3" t="s">
        <v>60</v>
      </c>
      <c r="B60" s="4">
        <v>418.22500000000002</v>
      </c>
      <c r="C60" s="4">
        <f t="shared" si="0"/>
        <v>426.22500000000002</v>
      </c>
      <c r="D60" s="4">
        <v>8</v>
      </c>
      <c r="E60" s="4">
        <v>214.52799999999999</v>
      </c>
      <c r="F60" s="4">
        <f t="shared" si="1"/>
        <v>216.52799999999999</v>
      </c>
      <c r="G60" s="4">
        <v>2</v>
      </c>
    </row>
    <row r="61" spans="1:7" ht="15" customHeight="1" x14ac:dyDescent="0.25">
      <c r="A61" s="3" t="s">
        <v>61</v>
      </c>
      <c r="B61" s="4">
        <v>746.16700000000003</v>
      </c>
      <c r="C61" s="4">
        <f t="shared" si="0"/>
        <v>756</v>
      </c>
      <c r="D61" s="4">
        <v>9.8330000000000002</v>
      </c>
      <c r="E61" s="4">
        <v>365.83300000000003</v>
      </c>
      <c r="F61" s="4">
        <f t="shared" si="1"/>
        <v>369</v>
      </c>
      <c r="G61" s="4">
        <v>3.1669999999999998</v>
      </c>
    </row>
    <row r="62" spans="1:7" ht="15" customHeight="1" x14ac:dyDescent="0.25">
      <c r="A62" s="3" t="s">
        <v>62</v>
      </c>
      <c r="B62" s="4">
        <v>190</v>
      </c>
      <c r="C62" s="4">
        <f t="shared" si="0"/>
        <v>191</v>
      </c>
      <c r="D62" s="4">
        <v>1</v>
      </c>
      <c r="E62" s="4">
        <v>79</v>
      </c>
      <c r="F62" s="4">
        <f t="shared" si="1"/>
        <v>79</v>
      </c>
      <c r="G62" s="4">
        <v>0</v>
      </c>
    </row>
    <row r="63" spans="1:7" ht="15" customHeight="1" x14ac:dyDescent="0.25">
      <c r="A63" s="3" t="s">
        <v>63</v>
      </c>
      <c r="B63" s="4">
        <v>876</v>
      </c>
      <c r="C63" s="4">
        <f t="shared" si="0"/>
        <v>878</v>
      </c>
      <c r="D63" s="4">
        <v>2</v>
      </c>
      <c r="E63" s="4">
        <v>411</v>
      </c>
      <c r="F63" s="4">
        <f t="shared" si="1"/>
        <v>412</v>
      </c>
      <c r="G63" s="4">
        <v>1</v>
      </c>
    </row>
    <row r="64" spans="1:7" ht="15" customHeight="1" x14ac:dyDescent="0.25">
      <c r="A64" s="3" t="s">
        <v>64</v>
      </c>
      <c r="B64" s="4">
        <v>153</v>
      </c>
      <c r="C64" s="4">
        <f t="shared" si="0"/>
        <v>156</v>
      </c>
      <c r="D64" s="4">
        <v>3</v>
      </c>
      <c r="E64" s="4">
        <v>79</v>
      </c>
      <c r="F64" s="4">
        <f t="shared" si="1"/>
        <v>80</v>
      </c>
      <c r="G64" s="4">
        <v>1</v>
      </c>
    </row>
    <row r="65" spans="1:7" ht="15" customHeight="1" x14ac:dyDescent="0.25">
      <c r="A65" s="3" t="s">
        <v>65</v>
      </c>
      <c r="B65" s="4">
        <v>319</v>
      </c>
      <c r="C65" s="4">
        <f t="shared" si="0"/>
        <v>322</v>
      </c>
      <c r="D65" s="4">
        <v>3</v>
      </c>
      <c r="E65" s="4">
        <v>151</v>
      </c>
      <c r="F65" s="4">
        <f t="shared" si="1"/>
        <v>152</v>
      </c>
      <c r="G65" s="4">
        <v>1</v>
      </c>
    </row>
    <row r="66" spans="1:7" ht="15" customHeight="1" x14ac:dyDescent="0.25">
      <c r="A66" s="3" t="s">
        <v>66</v>
      </c>
      <c r="B66" s="4">
        <v>1307.5</v>
      </c>
      <c r="C66" s="4">
        <f t="shared" si="0"/>
        <v>1322.9169999999999</v>
      </c>
      <c r="D66" s="4">
        <v>15.417</v>
      </c>
      <c r="E66" s="4">
        <v>489</v>
      </c>
      <c r="F66" s="4">
        <f t="shared" si="1"/>
        <v>495</v>
      </c>
      <c r="G66" s="4">
        <v>6</v>
      </c>
    </row>
    <row r="67" spans="1:7" ht="15" customHeight="1" x14ac:dyDescent="0.25">
      <c r="A67" s="3" t="s">
        <v>67</v>
      </c>
      <c r="B67" s="4">
        <v>204.5</v>
      </c>
      <c r="C67" s="4">
        <f t="shared" si="0"/>
        <v>205</v>
      </c>
      <c r="D67" s="4">
        <v>0.5</v>
      </c>
      <c r="E67" s="4">
        <v>89.62</v>
      </c>
      <c r="F67" s="4">
        <f t="shared" si="1"/>
        <v>90</v>
      </c>
      <c r="G67" s="4">
        <v>0.38</v>
      </c>
    </row>
    <row r="68" spans="1:7" ht="15" customHeight="1" x14ac:dyDescent="0.25">
      <c r="A68" s="3" t="s">
        <v>68</v>
      </c>
      <c r="B68" s="4">
        <v>371</v>
      </c>
      <c r="C68" s="4">
        <f t="shared" si="0"/>
        <v>371</v>
      </c>
      <c r="D68" s="4">
        <v>0</v>
      </c>
      <c r="E68" s="4">
        <v>38</v>
      </c>
      <c r="F68" s="4">
        <f t="shared" si="1"/>
        <v>38</v>
      </c>
      <c r="G68" s="4">
        <v>0</v>
      </c>
    </row>
    <row r="69" spans="1:7" ht="15" customHeight="1" x14ac:dyDescent="0.25">
      <c r="A69" s="3" t="s">
        <v>69</v>
      </c>
      <c r="B69" s="4">
        <v>69</v>
      </c>
      <c r="C69" s="4">
        <f t="shared" si="0"/>
        <v>69</v>
      </c>
      <c r="D69" s="4">
        <v>0</v>
      </c>
      <c r="E69" s="4">
        <v>42</v>
      </c>
      <c r="F69" s="4">
        <f t="shared" si="1"/>
        <v>42</v>
      </c>
      <c r="G69" s="4">
        <v>0</v>
      </c>
    </row>
    <row r="70" spans="1:7" ht="15" customHeight="1" x14ac:dyDescent="0.25">
      <c r="A70" s="3" t="s">
        <v>70</v>
      </c>
      <c r="B70" s="4">
        <v>342</v>
      </c>
      <c r="C70" s="4">
        <f t="shared" si="0"/>
        <v>342</v>
      </c>
      <c r="D70" s="4">
        <v>0</v>
      </c>
      <c r="E70" s="4">
        <v>167</v>
      </c>
      <c r="F70" s="4">
        <f t="shared" si="1"/>
        <v>167</v>
      </c>
      <c r="G70" s="4">
        <v>0</v>
      </c>
    </row>
    <row r="71" spans="1:7" ht="15" customHeight="1" x14ac:dyDescent="0.25">
      <c r="A71" s="3" t="s">
        <v>71</v>
      </c>
      <c r="B71" s="4">
        <v>110</v>
      </c>
      <c r="C71" s="4">
        <f t="shared" ref="C71:C134" si="2">B71+D71</f>
        <v>120</v>
      </c>
      <c r="D71" s="4">
        <v>10</v>
      </c>
      <c r="E71" s="4">
        <v>65</v>
      </c>
      <c r="F71" s="4">
        <f t="shared" ref="F71:F134" si="3">E71+G71</f>
        <v>68</v>
      </c>
      <c r="G71" s="4">
        <v>3</v>
      </c>
    </row>
    <row r="72" spans="1:7" ht="15" customHeight="1" x14ac:dyDescent="0.25">
      <c r="A72" s="3" t="s">
        <v>72</v>
      </c>
      <c r="B72" s="4">
        <v>989</v>
      </c>
      <c r="C72" s="4">
        <f t="shared" si="2"/>
        <v>993</v>
      </c>
      <c r="D72" s="4">
        <v>4</v>
      </c>
      <c r="E72" s="4">
        <v>63</v>
      </c>
      <c r="F72" s="4">
        <f t="shared" si="3"/>
        <v>65</v>
      </c>
      <c r="G72" s="4">
        <v>2</v>
      </c>
    </row>
    <row r="73" spans="1:7" ht="15" customHeight="1" x14ac:dyDescent="0.25">
      <c r="A73" s="3" t="s">
        <v>73</v>
      </c>
      <c r="B73" s="4">
        <v>172</v>
      </c>
      <c r="C73" s="4">
        <f t="shared" si="2"/>
        <v>176</v>
      </c>
      <c r="D73" s="4">
        <v>4</v>
      </c>
      <c r="E73" s="4">
        <v>69</v>
      </c>
      <c r="F73" s="4">
        <f t="shared" si="3"/>
        <v>69.8</v>
      </c>
      <c r="G73" s="4">
        <v>0.8</v>
      </c>
    </row>
    <row r="74" spans="1:7" ht="15" customHeight="1" x14ac:dyDescent="0.25">
      <c r="A74" s="3" t="s">
        <v>74</v>
      </c>
      <c r="B74" s="4">
        <v>1053.8330000000001</v>
      </c>
      <c r="C74" s="4">
        <f t="shared" si="2"/>
        <v>1060</v>
      </c>
      <c r="D74" s="4">
        <v>6.1669999999999998</v>
      </c>
      <c r="E74" s="4">
        <v>438.33300000000003</v>
      </c>
      <c r="F74" s="4">
        <f t="shared" si="3"/>
        <v>439</v>
      </c>
      <c r="G74" s="4">
        <v>0.66700000000000004</v>
      </c>
    </row>
    <row r="75" spans="1:7" ht="15" customHeight="1" x14ac:dyDescent="0.25">
      <c r="A75" s="3" t="s">
        <v>75</v>
      </c>
      <c r="B75" s="4">
        <v>69</v>
      </c>
      <c r="C75" s="4">
        <f t="shared" si="2"/>
        <v>76</v>
      </c>
      <c r="D75" s="4">
        <v>7</v>
      </c>
      <c r="E75" s="4">
        <v>22</v>
      </c>
      <c r="F75" s="4">
        <f t="shared" si="3"/>
        <v>23</v>
      </c>
      <c r="G75" s="4">
        <v>1</v>
      </c>
    </row>
    <row r="76" spans="1:7" ht="15" customHeight="1" x14ac:dyDescent="0.25">
      <c r="A76" s="3" t="s">
        <v>76</v>
      </c>
      <c r="B76" s="4">
        <v>497.5</v>
      </c>
      <c r="C76" s="4">
        <f t="shared" si="2"/>
        <v>505.91699999999997</v>
      </c>
      <c r="D76" s="4">
        <v>8.4169999999999998</v>
      </c>
      <c r="E76" s="4">
        <v>2.65</v>
      </c>
      <c r="F76" s="4">
        <f t="shared" si="3"/>
        <v>5.3</v>
      </c>
      <c r="G76" s="4">
        <f>E76</f>
        <v>2.65</v>
      </c>
    </row>
    <row r="77" spans="1:7" ht="15" customHeight="1" x14ac:dyDescent="0.25">
      <c r="A77" s="3" t="s">
        <v>77</v>
      </c>
      <c r="B77" s="4">
        <v>975.61099999999999</v>
      </c>
      <c r="C77" s="4">
        <f t="shared" si="2"/>
        <v>975.61099999999999</v>
      </c>
      <c r="D77" s="4">
        <v>0</v>
      </c>
      <c r="E77" s="4">
        <v>397</v>
      </c>
      <c r="F77" s="4">
        <f t="shared" si="3"/>
        <v>398</v>
      </c>
      <c r="G77" s="4">
        <v>1</v>
      </c>
    </row>
    <row r="78" spans="1:7" ht="15" customHeight="1" x14ac:dyDescent="0.25">
      <c r="A78" s="3" t="s">
        <v>78</v>
      </c>
      <c r="B78" s="4">
        <v>1309</v>
      </c>
      <c r="C78" s="4">
        <f t="shared" si="2"/>
        <v>1320</v>
      </c>
      <c r="D78" s="4">
        <v>11</v>
      </c>
      <c r="E78" s="4">
        <v>113</v>
      </c>
      <c r="F78" s="4">
        <f t="shared" si="3"/>
        <v>114</v>
      </c>
      <c r="G78" s="4">
        <v>1</v>
      </c>
    </row>
    <row r="79" spans="1:7" ht="15" customHeight="1" x14ac:dyDescent="0.25">
      <c r="A79" s="3" t="s">
        <v>79</v>
      </c>
      <c r="B79" s="4">
        <v>444</v>
      </c>
      <c r="C79" s="4">
        <f t="shared" si="2"/>
        <v>444</v>
      </c>
      <c r="D79" s="4">
        <v>0</v>
      </c>
      <c r="E79" s="4">
        <v>185</v>
      </c>
      <c r="F79" s="4">
        <f t="shared" si="3"/>
        <v>185</v>
      </c>
      <c r="G79" s="4">
        <v>0</v>
      </c>
    </row>
    <row r="80" spans="1:7" ht="15" customHeight="1" x14ac:dyDescent="0.25">
      <c r="A80" s="3" t="s">
        <v>80</v>
      </c>
      <c r="B80" s="4">
        <v>424</v>
      </c>
      <c r="C80" s="4">
        <f t="shared" si="2"/>
        <v>427</v>
      </c>
      <c r="D80" s="4">
        <v>3</v>
      </c>
      <c r="E80" s="4">
        <v>230</v>
      </c>
      <c r="F80" s="4">
        <f t="shared" si="3"/>
        <v>231</v>
      </c>
      <c r="G80" s="4">
        <v>1</v>
      </c>
    </row>
    <row r="81" spans="1:7" ht="15" customHeight="1" x14ac:dyDescent="0.25">
      <c r="A81" s="3" t="s">
        <v>81</v>
      </c>
      <c r="B81" s="4">
        <v>4.04</v>
      </c>
      <c r="C81" s="4">
        <f t="shared" si="2"/>
        <v>8.08</v>
      </c>
      <c r="D81" s="4">
        <f>B81</f>
        <v>4.04</v>
      </c>
      <c r="E81" s="4">
        <v>2.65</v>
      </c>
      <c r="F81" s="4">
        <f t="shared" si="3"/>
        <v>5.3</v>
      </c>
      <c r="G81" s="4">
        <f>E81</f>
        <v>2.65</v>
      </c>
    </row>
    <row r="82" spans="1:7" ht="15" customHeight="1" x14ac:dyDescent="0.25">
      <c r="A82" s="3" t="s">
        <v>82</v>
      </c>
      <c r="B82" s="4">
        <v>254</v>
      </c>
      <c r="C82" s="4">
        <f t="shared" si="2"/>
        <v>262</v>
      </c>
      <c r="D82" s="4">
        <v>8</v>
      </c>
      <c r="E82" s="4">
        <v>138</v>
      </c>
      <c r="F82" s="4">
        <f t="shared" si="3"/>
        <v>141</v>
      </c>
      <c r="G82" s="4">
        <v>3</v>
      </c>
    </row>
    <row r="83" spans="1:7" ht="15" customHeight="1" x14ac:dyDescent="0.25">
      <c r="A83" s="3" t="s">
        <v>83</v>
      </c>
      <c r="B83" s="4">
        <v>1000</v>
      </c>
      <c r="C83" s="4">
        <f t="shared" si="2"/>
        <v>1010</v>
      </c>
      <c r="D83" s="4">
        <v>10</v>
      </c>
      <c r="E83" s="4">
        <v>384</v>
      </c>
      <c r="F83" s="4">
        <f t="shared" si="3"/>
        <v>387</v>
      </c>
      <c r="G83" s="4">
        <v>3</v>
      </c>
    </row>
    <row r="84" spans="1:7" ht="15" customHeight="1" x14ac:dyDescent="0.25">
      <c r="A84" s="3" t="s">
        <v>84</v>
      </c>
      <c r="B84" s="4">
        <v>89.641000000000005</v>
      </c>
      <c r="C84" s="4">
        <f t="shared" si="2"/>
        <v>94.341999999999999</v>
      </c>
      <c r="D84" s="4">
        <v>4.7009999999999996</v>
      </c>
      <c r="E84" s="4">
        <v>9.6039999999999992</v>
      </c>
      <c r="F84" s="4">
        <f t="shared" si="3"/>
        <v>10.626999999999999</v>
      </c>
      <c r="G84" s="4">
        <v>1.0229999999999999</v>
      </c>
    </row>
    <row r="85" spans="1:7" ht="15" customHeight="1" x14ac:dyDescent="0.25">
      <c r="A85" s="3" t="s">
        <v>85</v>
      </c>
      <c r="B85" s="4">
        <v>4.04</v>
      </c>
      <c r="C85" s="4">
        <f t="shared" si="2"/>
        <v>8.08</v>
      </c>
      <c r="D85" s="4">
        <f>B85</f>
        <v>4.04</v>
      </c>
      <c r="E85" s="4">
        <v>2.65</v>
      </c>
      <c r="F85" s="4">
        <f t="shared" si="3"/>
        <v>5.3</v>
      </c>
      <c r="G85" s="4">
        <f>E85</f>
        <v>2.65</v>
      </c>
    </row>
    <row r="86" spans="1:7" ht="15" customHeight="1" x14ac:dyDescent="0.25">
      <c r="A86" s="3" t="s">
        <v>86</v>
      </c>
      <c r="B86" s="4">
        <v>217</v>
      </c>
      <c r="C86" s="4">
        <f t="shared" si="2"/>
        <v>221</v>
      </c>
      <c r="D86" s="4">
        <v>4</v>
      </c>
      <c r="E86" s="4">
        <v>33</v>
      </c>
      <c r="F86" s="4">
        <f t="shared" si="3"/>
        <v>33</v>
      </c>
      <c r="G86" s="4">
        <v>0</v>
      </c>
    </row>
    <row r="87" spans="1:7" ht="15" customHeight="1" x14ac:dyDescent="0.25">
      <c r="A87" s="3" t="s">
        <v>87</v>
      </c>
      <c r="B87" s="4">
        <v>93</v>
      </c>
      <c r="C87" s="4">
        <f t="shared" si="2"/>
        <v>96</v>
      </c>
      <c r="D87" s="4">
        <v>3</v>
      </c>
      <c r="E87" s="4">
        <v>51</v>
      </c>
      <c r="F87" s="4">
        <f t="shared" si="3"/>
        <v>52</v>
      </c>
      <c r="G87" s="4">
        <v>1</v>
      </c>
    </row>
    <row r="88" spans="1:7" ht="15" customHeight="1" x14ac:dyDescent="0.25">
      <c r="A88" s="3" t="s">
        <v>88</v>
      </c>
      <c r="B88" s="4">
        <v>4.04</v>
      </c>
      <c r="C88" s="4">
        <f t="shared" si="2"/>
        <v>8.08</v>
      </c>
      <c r="D88" s="4">
        <f>B88</f>
        <v>4.04</v>
      </c>
      <c r="E88" s="4">
        <v>2.65</v>
      </c>
      <c r="F88" s="4">
        <f t="shared" si="3"/>
        <v>5.3</v>
      </c>
      <c r="G88" s="4">
        <f>E88</f>
        <v>2.65</v>
      </c>
    </row>
    <row r="89" spans="1:7" ht="15" customHeight="1" x14ac:dyDescent="0.25">
      <c r="A89" s="3" t="s">
        <v>89</v>
      </c>
      <c r="B89" s="4">
        <v>510</v>
      </c>
      <c r="C89" s="4">
        <f t="shared" si="2"/>
        <v>512</v>
      </c>
      <c r="D89" s="4">
        <v>2</v>
      </c>
      <c r="E89" s="4">
        <v>35</v>
      </c>
      <c r="F89" s="4">
        <f t="shared" si="3"/>
        <v>37</v>
      </c>
      <c r="G89" s="4">
        <v>2</v>
      </c>
    </row>
    <row r="90" spans="1:7" ht="15" customHeight="1" x14ac:dyDescent="0.25">
      <c r="A90" s="3" t="s">
        <v>90</v>
      </c>
      <c r="B90" s="4">
        <v>950</v>
      </c>
      <c r="C90" s="4">
        <f t="shared" si="2"/>
        <v>956</v>
      </c>
      <c r="D90" s="4">
        <v>6</v>
      </c>
      <c r="E90" s="4">
        <v>38</v>
      </c>
      <c r="F90" s="4">
        <f t="shared" si="3"/>
        <v>41</v>
      </c>
      <c r="G90" s="4">
        <v>3</v>
      </c>
    </row>
    <row r="91" spans="1:7" ht="15" customHeight="1" x14ac:dyDescent="0.25">
      <c r="A91" s="3" t="s">
        <v>91</v>
      </c>
      <c r="B91" s="4">
        <v>625</v>
      </c>
      <c r="C91" s="4">
        <f t="shared" si="2"/>
        <v>627</v>
      </c>
      <c r="D91" s="4">
        <v>2</v>
      </c>
      <c r="E91" s="4">
        <v>235</v>
      </c>
      <c r="F91" s="4">
        <f t="shared" si="3"/>
        <v>236</v>
      </c>
      <c r="G91" s="4">
        <v>1</v>
      </c>
    </row>
    <row r="92" spans="1:7" ht="15" customHeight="1" x14ac:dyDescent="0.25">
      <c r="A92" s="3" t="s">
        <v>92</v>
      </c>
      <c r="B92" s="4">
        <v>721.84</v>
      </c>
      <c r="C92" s="4">
        <f t="shared" si="2"/>
        <v>726.49</v>
      </c>
      <c r="D92" s="4">
        <v>4.6500000000000004</v>
      </c>
      <c r="E92" s="4">
        <v>74.03</v>
      </c>
      <c r="F92" s="4">
        <f t="shared" si="3"/>
        <v>75.98</v>
      </c>
      <c r="G92" s="4">
        <v>1.95</v>
      </c>
    </row>
    <row r="93" spans="1:7" ht="15" customHeight="1" x14ac:dyDescent="0.25">
      <c r="A93" s="3" t="s">
        <v>93</v>
      </c>
      <c r="B93" s="4">
        <v>576</v>
      </c>
      <c r="C93" s="4">
        <f t="shared" si="2"/>
        <v>595</v>
      </c>
      <c r="D93" s="4">
        <v>19</v>
      </c>
      <c r="E93" s="4">
        <v>320</v>
      </c>
      <c r="F93" s="4">
        <f t="shared" si="3"/>
        <v>331</v>
      </c>
      <c r="G93" s="4">
        <v>11</v>
      </c>
    </row>
    <row r="94" spans="1:7" ht="15" customHeight="1" x14ac:dyDescent="0.25">
      <c r="A94" s="3" t="s">
        <v>94</v>
      </c>
      <c r="B94" s="4">
        <v>22.739000000000001</v>
      </c>
      <c r="C94" s="4">
        <f t="shared" si="2"/>
        <v>22.739000000000001</v>
      </c>
      <c r="D94" s="4">
        <v>0</v>
      </c>
      <c r="E94" s="4">
        <v>15.116</v>
      </c>
      <c r="F94" s="4">
        <f t="shared" si="3"/>
        <v>15.116</v>
      </c>
      <c r="G94" s="4">
        <v>0</v>
      </c>
    </row>
    <row r="95" spans="1:7" ht="15" customHeight="1" x14ac:dyDescent="0.25">
      <c r="A95" s="3" t="s">
        <v>95</v>
      </c>
      <c r="B95" s="4">
        <v>71</v>
      </c>
      <c r="C95" s="4">
        <f t="shared" si="2"/>
        <v>80</v>
      </c>
      <c r="D95" s="4">
        <v>9</v>
      </c>
      <c r="E95" s="4">
        <v>114</v>
      </c>
      <c r="F95" s="4">
        <f t="shared" si="3"/>
        <v>116</v>
      </c>
      <c r="G95" s="4">
        <v>2</v>
      </c>
    </row>
    <row r="96" spans="1:7" ht="15" customHeight="1" x14ac:dyDescent="0.25">
      <c r="A96" s="3" t="s">
        <v>96</v>
      </c>
      <c r="B96" s="4">
        <v>284</v>
      </c>
      <c r="C96" s="4">
        <f t="shared" si="2"/>
        <v>284</v>
      </c>
      <c r="D96" s="4">
        <v>0</v>
      </c>
      <c r="E96" s="4">
        <v>118</v>
      </c>
      <c r="F96" s="4">
        <f t="shared" si="3"/>
        <v>118</v>
      </c>
      <c r="G96" s="4">
        <v>0</v>
      </c>
    </row>
    <row r="97" spans="1:7" ht="15" customHeight="1" x14ac:dyDescent="0.25">
      <c r="A97" s="3" t="s">
        <v>97</v>
      </c>
      <c r="B97" s="4">
        <v>154</v>
      </c>
      <c r="C97" s="4">
        <f t="shared" si="2"/>
        <v>157</v>
      </c>
      <c r="D97" s="4">
        <v>3</v>
      </c>
      <c r="E97" s="4">
        <v>17</v>
      </c>
      <c r="F97" s="4">
        <f t="shared" si="3"/>
        <v>18</v>
      </c>
      <c r="G97" s="4">
        <v>1</v>
      </c>
    </row>
    <row r="98" spans="1:7" ht="15" customHeight="1" x14ac:dyDescent="0.25">
      <c r="A98" s="3" t="s">
        <v>98</v>
      </c>
      <c r="B98" s="4">
        <v>490</v>
      </c>
      <c r="C98" s="4">
        <f t="shared" si="2"/>
        <v>494</v>
      </c>
      <c r="D98" s="4">
        <v>4</v>
      </c>
      <c r="E98" s="4">
        <v>243</v>
      </c>
      <c r="F98" s="4">
        <f t="shared" si="3"/>
        <v>244</v>
      </c>
      <c r="G98" s="4">
        <v>1</v>
      </c>
    </row>
    <row r="99" spans="1:7" ht="15" customHeight="1" x14ac:dyDescent="0.25">
      <c r="A99" s="3" t="s">
        <v>99</v>
      </c>
      <c r="B99" s="4">
        <v>88</v>
      </c>
      <c r="C99" s="4">
        <f t="shared" si="2"/>
        <v>97</v>
      </c>
      <c r="D99" s="4">
        <v>9</v>
      </c>
      <c r="E99" s="4">
        <v>46</v>
      </c>
      <c r="F99" s="4">
        <f t="shared" si="3"/>
        <v>49</v>
      </c>
      <c r="G99" s="4">
        <v>3</v>
      </c>
    </row>
    <row r="100" spans="1:7" ht="15" customHeight="1" x14ac:dyDescent="0.25">
      <c r="A100" s="3" t="s">
        <v>100</v>
      </c>
      <c r="B100" s="4">
        <v>163</v>
      </c>
      <c r="C100" s="4">
        <f t="shared" si="2"/>
        <v>166</v>
      </c>
      <c r="D100" s="4">
        <v>3</v>
      </c>
      <c r="E100" s="4">
        <v>67</v>
      </c>
      <c r="F100" s="4">
        <f t="shared" si="3"/>
        <v>68</v>
      </c>
      <c r="G100" s="4">
        <v>1</v>
      </c>
    </row>
    <row r="101" spans="1:7" ht="15" customHeight="1" x14ac:dyDescent="0.25">
      <c r="A101" s="3" t="s">
        <v>101</v>
      </c>
      <c r="B101" s="4">
        <v>4.04</v>
      </c>
      <c r="C101" s="4">
        <f t="shared" si="2"/>
        <v>8.08</v>
      </c>
      <c r="D101" s="4">
        <f>B101</f>
        <v>4.04</v>
      </c>
      <c r="E101" s="4">
        <v>80.343999999999994</v>
      </c>
      <c r="F101" s="4">
        <f t="shared" si="3"/>
        <v>80.343999999999994</v>
      </c>
      <c r="G101" s="4">
        <v>0</v>
      </c>
    </row>
    <row r="102" spans="1:7" ht="15" customHeight="1" x14ac:dyDescent="0.25">
      <c r="A102" s="3" t="s">
        <v>102</v>
      </c>
      <c r="B102" s="4">
        <v>1017</v>
      </c>
      <c r="C102" s="4">
        <f t="shared" si="2"/>
        <v>1021</v>
      </c>
      <c r="D102" s="4">
        <v>4</v>
      </c>
      <c r="E102" s="4">
        <v>309</v>
      </c>
      <c r="F102" s="4">
        <f t="shared" si="3"/>
        <v>310</v>
      </c>
      <c r="G102" s="4">
        <v>1</v>
      </c>
    </row>
    <row r="103" spans="1:7" ht="15" customHeight="1" x14ac:dyDescent="0.25">
      <c r="A103" s="3" t="s">
        <v>103</v>
      </c>
      <c r="B103" s="4">
        <v>545.50699999999995</v>
      </c>
      <c r="C103" s="4">
        <f t="shared" si="2"/>
        <v>545.50699999999995</v>
      </c>
      <c r="D103" s="4">
        <v>0</v>
      </c>
      <c r="E103" s="4">
        <v>359.971</v>
      </c>
      <c r="F103" s="4">
        <f t="shared" si="3"/>
        <v>359.971</v>
      </c>
      <c r="G103" s="4">
        <v>0</v>
      </c>
    </row>
    <row r="104" spans="1:7" ht="15" customHeight="1" x14ac:dyDescent="0.25">
      <c r="A104" s="3" t="s">
        <v>104</v>
      </c>
      <c r="B104" s="4">
        <v>638</v>
      </c>
      <c r="C104" s="4">
        <f t="shared" si="2"/>
        <v>641</v>
      </c>
      <c r="D104" s="4">
        <v>3</v>
      </c>
      <c r="E104" s="4">
        <v>295</v>
      </c>
      <c r="F104" s="4">
        <f t="shared" si="3"/>
        <v>295</v>
      </c>
      <c r="G104" s="4">
        <v>0</v>
      </c>
    </row>
    <row r="105" spans="1:7" ht="15" customHeight="1" x14ac:dyDescent="0.25">
      <c r="A105" s="3" t="s">
        <v>105</v>
      </c>
      <c r="B105" s="4">
        <v>485</v>
      </c>
      <c r="C105" s="4">
        <f t="shared" si="2"/>
        <v>495</v>
      </c>
      <c r="D105" s="4">
        <v>10</v>
      </c>
      <c r="E105" s="4">
        <v>340</v>
      </c>
      <c r="F105" s="4">
        <f t="shared" si="3"/>
        <v>344</v>
      </c>
      <c r="G105" s="4">
        <v>4</v>
      </c>
    </row>
    <row r="106" spans="1:7" ht="15" customHeight="1" x14ac:dyDescent="0.25">
      <c r="A106" s="3" t="s">
        <v>106</v>
      </c>
      <c r="B106" s="4">
        <v>121</v>
      </c>
      <c r="C106" s="4">
        <f t="shared" si="2"/>
        <v>124</v>
      </c>
      <c r="D106" s="4">
        <v>3</v>
      </c>
      <c r="E106" s="4">
        <v>60</v>
      </c>
      <c r="F106" s="4">
        <f t="shared" si="3"/>
        <v>60</v>
      </c>
      <c r="G106" s="4">
        <v>0</v>
      </c>
    </row>
    <row r="107" spans="1:7" ht="15" customHeight="1" x14ac:dyDescent="0.25">
      <c r="A107" s="3" t="s">
        <v>107</v>
      </c>
      <c r="B107" s="4">
        <v>276.66899999999998</v>
      </c>
      <c r="C107" s="4">
        <f t="shared" si="2"/>
        <v>276.66899999999998</v>
      </c>
      <c r="D107" s="4">
        <v>0</v>
      </c>
      <c r="E107" s="4">
        <v>147.07400000000001</v>
      </c>
      <c r="F107" s="4">
        <f t="shared" si="3"/>
        <v>147.07400000000001</v>
      </c>
      <c r="G107" s="4">
        <v>0</v>
      </c>
    </row>
    <row r="108" spans="1:7" ht="15" customHeight="1" x14ac:dyDescent="0.25">
      <c r="A108" s="3" t="s">
        <v>108</v>
      </c>
      <c r="B108" s="4">
        <v>60</v>
      </c>
      <c r="C108" s="4">
        <f t="shared" si="2"/>
        <v>64</v>
      </c>
      <c r="D108" s="4">
        <v>4</v>
      </c>
      <c r="E108" s="4">
        <v>55</v>
      </c>
      <c r="F108" s="4">
        <f t="shared" si="3"/>
        <v>58</v>
      </c>
      <c r="G108" s="4">
        <v>3</v>
      </c>
    </row>
    <row r="109" spans="1:7" ht="15" customHeight="1" x14ac:dyDescent="0.25">
      <c r="A109" s="3" t="s">
        <v>109</v>
      </c>
      <c r="B109" s="4">
        <v>4.04</v>
      </c>
      <c r="C109" s="4">
        <f t="shared" si="2"/>
        <v>8.08</v>
      </c>
      <c r="D109" s="4">
        <f>B109</f>
        <v>4.04</v>
      </c>
      <c r="E109" s="4">
        <v>2.65</v>
      </c>
      <c r="F109" s="4">
        <f t="shared" si="3"/>
        <v>5.3</v>
      </c>
      <c r="G109" s="4">
        <f>E109</f>
        <v>2.65</v>
      </c>
    </row>
    <row r="110" spans="1:7" ht="15" customHeight="1" x14ac:dyDescent="0.25">
      <c r="A110" s="3" t="s">
        <v>110</v>
      </c>
      <c r="B110" s="4">
        <v>776</v>
      </c>
      <c r="C110" s="4">
        <f t="shared" si="2"/>
        <v>778</v>
      </c>
      <c r="D110" s="4">
        <v>2</v>
      </c>
      <c r="E110" s="4">
        <v>305.83699999999999</v>
      </c>
      <c r="F110" s="4">
        <f t="shared" si="3"/>
        <v>305.83699999999999</v>
      </c>
      <c r="G110" s="4">
        <v>0</v>
      </c>
    </row>
    <row r="111" spans="1:7" ht="15" customHeight="1" x14ac:dyDescent="0.25">
      <c r="A111" s="3" t="s">
        <v>111</v>
      </c>
      <c r="B111" s="4">
        <v>431</v>
      </c>
      <c r="C111" s="4">
        <f t="shared" si="2"/>
        <v>432</v>
      </c>
      <c r="D111" s="4">
        <v>1</v>
      </c>
      <c r="E111" s="4">
        <v>223</v>
      </c>
      <c r="F111" s="4">
        <f t="shared" si="3"/>
        <v>225</v>
      </c>
      <c r="G111" s="4">
        <v>2</v>
      </c>
    </row>
    <row r="112" spans="1:7" ht="15" customHeight="1" x14ac:dyDescent="0.25">
      <c r="A112" s="3" t="s">
        <v>112</v>
      </c>
      <c r="B112" s="4">
        <v>101</v>
      </c>
      <c r="C112" s="4">
        <f t="shared" si="2"/>
        <v>106</v>
      </c>
      <c r="D112" s="4">
        <v>5</v>
      </c>
      <c r="E112" s="4">
        <v>59</v>
      </c>
      <c r="F112" s="4">
        <f t="shared" si="3"/>
        <v>60</v>
      </c>
      <c r="G112" s="4">
        <v>1</v>
      </c>
    </row>
    <row r="113" spans="1:7" ht="15" customHeight="1" x14ac:dyDescent="0.25">
      <c r="A113" s="3" t="s">
        <v>113</v>
      </c>
      <c r="B113" s="4">
        <v>664</v>
      </c>
      <c r="C113" s="4">
        <f t="shared" si="2"/>
        <v>669</v>
      </c>
      <c r="D113" s="4">
        <v>5</v>
      </c>
      <c r="E113" s="4">
        <v>241</v>
      </c>
      <c r="F113" s="4">
        <f t="shared" si="3"/>
        <v>243</v>
      </c>
      <c r="G113" s="4">
        <v>2</v>
      </c>
    </row>
    <row r="114" spans="1:7" ht="15" customHeight="1" x14ac:dyDescent="0.25">
      <c r="A114" s="3" t="s">
        <v>114</v>
      </c>
      <c r="B114" s="4">
        <v>1259</v>
      </c>
      <c r="C114" s="4">
        <f t="shared" si="2"/>
        <v>1268</v>
      </c>
      <c r="D114" s="4">
        <v>9</v>
      </c>
      <c r="E114" s="4">
        <v>512</v>
      </c>
      <c r="F114" s="4">
        <f t="shared" si="3"/>
        <v>513</v>
      </c>
      <c r="G114" s="4">
        <v>1</v>
      </c>
    </row>
    <row r="115" spans="1:7" ht="15" customHeight="1" x14ac:dyDescent="0.25">
      <c r="A115" s="3" t="s">
        <v>115</v>
      </c>
      <c r="B115" s="4">
        <v>223</v>
      </c>
      <c r="C115" s="4">
        <f t="shared" si="2"/>
        <v>224</v>
      </c>
      <c r="D115" s="4">
        <v>1</v>
      </c>
      <c r="E115" s="4">
        <v>114</v>
      </c>
      <c r="F115" s="4">
        <f t="shared" si="3"/>
        <v>115</v>
      </c>
      <c r="G115" s="4">
        <v>1</v>
      </c>
    </row>
    <row r="116" spans="1:7" ht="15" customHeight="1" x14ac:dyDescent="0.25">
      <c r="A116" s="3" t="s">
        <v>116</v>
      </c>
      <c r="B116" s="4">
        <v>371</v>
      </c>
      <c r="C116" s="4">
        <f t="shared" si="2"/>
        <v>372</v>
      </c>
      <c r="D116" s="4">
        <v>1</v>
      </c>
      <c r="E116" s="4">
        <v>218</v>
      </c>
      <c r="F116" s="4">
        <f t="shared" si="3"/>
        <v>219</v>
      </c>
      <c r="G116" s="4">
        <v>1</v>
      </c>
    </row>
    <row r="117" spans="1:7" ht="15" customHeight="1" x14ac:dyDescent="0.25">
      <c r="A117" s="3" t="s">
        <v>117</v>
      </c>
      <c r="B117" s="4">
        <v>122</v>
      </c>
      <c r="C117" s="4">
        <f t="shared" si="2"/>
        <v>138</v>
      </c>
      <c r="D117" s="4">
        <v>16</v>
      </c>
      <c r="E117" s="4">
        <v>88</v>
      </c>
      <c r="F117" s="4">
        <f t="shared" si="3"/>
        <v>96</v>
      </c>
      <c r="G117" s="4">
        <v>8</v>
      </c>
    </row>
    <row r="118" spans="1:7" ht="15" customHeight="1" x14ac:dyDescent="0.25">
      <c r="A118" s="3" t="s">
        <v>118</v>
      </c>
      <c r="B118" s="4">
        <v>581</v>
      </c>
      <c r="C118" s="4">
        <f t="shared" si="2"/>
        <v>584.72199999999998</v>
      </c>
      <c r="D118" s="4">
        <v>3.722</v>
      </c>
      <c r="E118" s="4">
        <v>304</v>
      </c>
      <c r="F118" s="4">
        <f t="shared" si="3"/>
        <v>305.30599999999998</v>
      </c>
      <c r="G118" s="4">
        <v>1.306</v>
      </c>
    </row>
    <row r="119" spans="1:7" ht="15" customHeight="1" x14ac:dyDescent="0.25">
      <c r="A119" s="3" t="s">
        <v>119</v>
      </c>
      <c r="B119" s="4">
        <v>380</v>
      </c>
      <c r="C119" s="4">
        <f t="shared" si="2"/>
        <v>382</v>
      </c>
      <c r="D119" s="4">
        <v>2</v>
      </c>
      <c r="E119" s="4">
        <v>218</v>
      </c>
      <c r="F119" s="4">
        <f t="shared" si="3"/>
        <v>219</v>
      </c>
      <c r="G119" s="4">
        <v>1</v>
      </c>
    </row>
    <row r="120" spans="1:7" ht="15" customHeight="1" x14ac:dyDescent="0.25">
      <c r="A120" s="3" t="s">
        <v>120</v>
      </c>
      <c r="B120" s="4">
        <v>191</v>
      </c>
      <c r="C120" s="4">
        <f t="shared" si="2"/>
        <v>197.93</v>
      </c>
      <c r="D120" s="4">
        <v>6.93</v>
      </c>
      <c r="E120" s="4">
        <v>125</v>
      </c>
      <c r="F120" s="4">
        <f t="shared" si="3"/>
        <v>125.5</v>
      </c>
      <c r="G120" s="4">
        <v>0.5</v>
      </c>
    </row>
    <row r="121" spans="1:7" ht="15" customHeight="1" x14ac:dyDescent="0.25">
      <c r="A121" s="3" t="s">
        <v>121</v>
      </c>
      <c r="B121" s="4">
        <v>415</v>
      </c>
      <c r="C121" s="4">
        <f t="shared" si="2"/>
        <v>415</v>
      </c>
      <c r="D121" s="4">
        <v>0</v>
      </c>
      <c r="E121" s="4">
        <v>194</v>
      </c>
      <c r="F121" s="4">
        <f t="shared" si="3"/>
        <v>194</v>
      </c>
      <c r="G121" s="4">
        <v>0</v>
      </c>
    </row>
    <row r="122" spans="1:7" ht="15" customHeight="1" x14ac:dyDescent="0.25">
      <c r="A122" s="3" t="s">
        <v>122</v>
      </c>
      <c r="B122" s="4">
        <v>52.115000000000002</v>
      </c>
      <c r="C122" s="4">
        <f t="shared" si="2"/>
        <v>56.155000000000001</v>
      </c>
      <c r="D122" s="4">
        <v>4.04</v>
      </c>
      <c r="E122" s="4">
        <v>19.472000000000001</v>
      </c>
      <c r="F122" s="4">
        <f t="shared" si="3"/>
        <v>22.122</v>
      </c>
      <c r="G122" s="4">
        <v>2.65</v>
      </c>
    </row>
    <row r="123" spans="1:7" ht="15" customHeight="1" x14ac:dyDescent="0.25">
      <c r="A123" s="3" t="s">
        <v>123</v>
      </c>
      <c r="B123" s="4">
        <v>182</v>
      </c>
      <c r="C123" s="4">
        <f t="shared" si="2"/>
        <v>182</v>
      </c>
      <c r="D123" s="4">
        <v>0</v>
      </c>
      <c r="E123" s="4">
        <v>98</v>
      </c>
      <c r="F123" s="4">
        <f t="shared" si="3"/>
        <v>98</v>
      </c>
      <c r="G123" s="4">
        <v>0</v>
      </c>
    </row>
    <row r="124" spans="1:7" ht="15" customHeight="1" x14ac:dyDescent="0.25">
      <c r="A124" s="3" t="s">
        <v>124</v>
      </c>
      <c r="B124" s="4">
        <v>1015</v>
      </c>
      <c r="C124" s="4">
        <f t="shared" si="2"/>
        <v>1032</v>
      </c>
      <c r="D124" s="4">
        <v>17</v>
      </c>
      <c r="E124" s="4">
        <v>329</v>
      </c>
      <c r="F124" s="4">
        <f t="shared" si="3"/>
        <v>330</v>
      </c>
      <c r="G124" s="4">
        <v>1</v>
      </c>
    </row>
    <row r="125" spans="1:7" ht="15" customHeight="1" x14ac:dyDescent="0.25">
      <c r="A125" s="3" t="s">
        <v>125</v>
      </c>
      <c r="B125" s="4">
        <v>296</v>
      </c>
      <c r="C125" s="4">
        <f t="shared" si="2"/>
        <v>297</v>
      </c>
      <c r="D125" s="4">
        <v>1</v>
      </c>
      <c r="E125" s="4">
        <v>88</v>
      </c>
      <c r="F125" s="4">
        <f t="shared" si="3"/>
        <v>88</v>
      </c>
      <c r="G125" s="4">
        <v>0</v>
      </c>
    </row>
    <row r="126" spans="1:7" ht="15" customHeight="1" x14ac:dyDescent="0.25">
      <c r="A126" s="3" t="s">
        <v>126</v>
      </c>
      <c r="B126" s="4">
        <v>1036</v>
      </c>
      <c r="C126" s="4">
        <f t="shared" si="2"/>
        <v>1036</v>
      </c>
      <c r="D126" s="4">
        <v>0</v>
      </c>
      <c r="E126" s="4">
        <v>320</v>
      </c>
      <c r="F126" s="4">
        <f t="shared" si="3"/>
        <v>320</v>
      </c>
      <c r="G126" s="4">
        <v>0</v>
      </c>
    </row>
    <row r="127" spans="1:7" ht="15" customHeight="1" x14ac:dyDescent="0.25">
      <c r="A127" s="3" t="s">
        <v>127</v>
      </c>
      <c r="B127" s="4">
        <v>414</v>
      </c>
      <c r="C127" s="4">
        <f t="shared" si="2"/>
        <v>414</v>
      </c>
      <c r="D127" s="4">
        <v>0</v>
      </c>
      <c r="E127" s="4">
        <v>199</v>
      </c>
      <c r="F127" s="4">
        <f t="shared" si="3"/>
        <v>199</v>
      </c>
      <c r="G127" s="4">
        <v>0</v>
      </c>
    </row>
    <row r="128" spans="1:7" ht="15" customHeight="1" x14ac:dyDescent="0.25">
      <c r="A128" s="3" t="s">
        <v>128</v>
      </c>
      <c r="B128" s="4">
        <v>62.167000000000002</v>
      </c>
      <c r="C128" s="4">
        <f t="shared" si="2"/>
        <v>70</v>
      </c>
      <c r="D128" s="4">
        <v>7.8330000000000002</v>
      </c>
      <c r="E128" s="4">
        <v>21.5</v>
      </c>
      <c r="F128" s="4">
        <f t="shared" si="3"/>
        <v>23</v>
      </c>
      <c r="G128" s="4">
        <v>1.5</v>
      </c>
    </row>
    <row r="129" spans="1:7" ht="15" customHeight="1" x14ac:dyDescent="0.25">
      <c r="A129" s="3" t="s">
        <v>129</v>
      </c>
      <c r="B129" s="4">
        <v>848</v>
      </c>
      <c r="C129" s="4">
        <f t="shared" si="2"/>
        <v>852</v>
      </c>
      <c r="D129" s="4">
        <v>4</v>
      </c>
      <c r="E129" s="4">
        <v>21</v>
      </c>
      <c r="F129" s="4">
        <f t="shared" si="3"/>
        <v>22</v>
      </c>
      <c r="G129" s="4">
        <v>1</v>
      </c>
    </row>
    <row r="130" spans="1:7" ht="15" customHeight="1" x14ac:dyDescent="0.25">
      <c r="A130" s="3" t="s">
        <v>130</v>
      </c>
      <c r="B130" s="4">
        <v>26</v>
      </c>
      <c r="C130" s="4">
        <f t="shared" si="2"/>
        <v>28</v>
      </c>
      <c r="D130" s="4">
        <v>2</v>
      </c>
      <c r="E130" s="4">
        <v>13</v>
      </c>
      <c r="F130" s="4">
        <f t="shared" si="3"/>
        <v>14</v>
      </c>
      <c r="G130" s="4">
        <v>1</v>
      </c>
    </row>
    <row r="131" spans="1:7" ht="15" customHeight="1" x14ac:dyDescent="0.25">
      <c r="A131" s="3" t="s">
        <v>131</v>
      </c>
      <c r="B131" s="4">
        <v>560</v>
      </c>
      <c r="C131" s="4">
        <f t="shared" si="2"/>
        <v>564</v>
      </c>
      <c r="D131" s="4">
        <v>4</v>
      </c>
      <c r="E131" s="4">
        <v>320</v>
      </c>
      <c r="F131" s="4">
        <f t="shared" si="3"/>
        <v>322</v>
      </c>
      <c r="G131" s="4">
        <v>2</v>
      </c>
    </row>
    <row r="132" spans="1:7" ht="15" customHeight="1" x14ac:dyDescent="0.25">
      <c r="A132" s="3" t="s">
        <v>132</v>
      </c>
      <c r="B132" s="4">
        <v>571.149</v>
      </c>
      <c r="C132" s="4">
        <f t="shared" si="2"/>
        <v>579.22900000000004</v>
      </c>
      <c r="D132" s="4">
        <v>8.08</v>
      </c>
      <c r="E132" s="4">
        <v>248.524</v>
      </c>
      <c r="F132" s="4">
        <f t="shared" si="3"/>
        <v>253.82400000000001</v>
      </c>
      <c r="G132" s="4">
        <v>5.3</v>
      </c>
    </row>
    <row r="133" spans="1:7" ht="15" customHeight="1" x14ac:dyDescent="0.25">
      <c r="A133" s="3" t="s">
        <v>133</v>
      </c>
      <c r="B133" s="4">
        <v>278</v>
      </c>
      <c r="C133" s="4">
        <f t="shared" si="2"/>
        <v>286</v>
      </c>
      <c r="D133" s="4">
        <v>8</v>
      </c>
      <c r="E133" s="4">
        <v>4</v>
      </c>
      <c r="F133" s="4">
        <f t="shared" si="3"/>
        <v>7</v>
      </c>
      <c r="G133" s="4">
        <v>3</v>
      </c>
    </row>
    <row r="134" spans="1:7" ht="15" customHeight="1" x14ac:dyDescent="0.25">
      <c r="A134" s="3" t="s">
        <v>134</v>
      </c>
      <c r="B134" s="4">
        <v>754.5</v>
      </c>
      <c r="C134" s="4">
        <f t="shared" si="2"/>
        <v>758</v>
      </c>
      <c r="D134" s="4">
        <v>3.5</v>
      </c>
      <c r="E134" s="4">
        <v>31.667000000000002</v>
      </c>
      <c r="F134" s="4">
        <f t="shared" si="3"/>
        <v>32</v>
      </c>
      <c r="G134" s="4">
        <v>0.33300000000000002</v>
      </c>
    </row>
    <row r="135" spans="1:7" ht="15" customHeight="1" x14ac:dyDescent="0.25">
      <c r="A135" s="3" t="s">
        <v>135</v>
      </c>
      <c r="B135" s="4">
        <v>512</v>
      </c>
      <c r="C135" s="4">
        <f t="shared" ref="C135:C173" si="4">B135+D135</f>
        <v>512</v>
      </c>
      <c r="D135" s="4">
        <v>0</v>
      </c>
      <c r="E135" s="4">
        <v>427</v>
      </c>
      <c r="F135" s="4">
        <f t="shared" ref="F135:F175" si="5">E135+G135</f>
        <v>427</v>
      </c>
      <c r="G135" s="4">
        <v>0</v>
      </c>
    </row>
    <row r="136" spans="1:7" ht="15" customHeight="1" x14ac:dyDescent="0.25">
      <c r="A136" s="3" t="s">
        <v>136</v>
      </c>
      <c r="B136" s="4">
        <v>513</v>
      </c>
      <c r="C136" s="4">
        <f t="shared" si="4"/>
        <v>513</v>
      </c>
      <c r="D136" s="4">
        <v>0</v>
      </c>
      <c r="E136" s="4">
        <v>331</v>
      </c>
      <c r="F136" s="4">
        <f t="shared" si="5"/>
        <v>331</v>
      </c>
      <c r="G136" s="4">
        <v>0</v>
      </c>
    </row>
    <row r="137" spans="1:7" ht="15" customHeight="1" x14ac:dyDescent="0.25">
      <c r="A137" s="3" t="s">
        <v>137</v>
      </c>
      <c r="B137" s="4">
        <v>259</v>
      </c>
      <c r="C137" s="4">
        <f t="shared" si="4"/>
        <v>263</v>
      </c>
      <c r="D137" s="4">
        <v>4</v>
      </c>
      <c r="E137" s="4">
        <v>57</v>
      </c>
      <c r="F137" s="4">
        <f t="shared" si="5"/>
        <v>58</v>
      </c>
      <c r="G137" s="4">
        <v>1</v>
      </c>
    </row>
    <row r="138" spans="1:7" ht="15" customHeight="1" x14ac:dyDescent="0.25">
      <c r="A138" s="3" t="s">
        <v>138</v>
      </c>
      <c r="B138" s="4">
        <v>550</v>
      </c>
      <c r="C138" s="4">
        <f t="shared" si="4"/>
        <v>557</v>
      </c>
      <c r="D138" s="4">
        <v>7</v>
      </c>
      <c r="E138" s="4">
        <v>161</v>
      </c>
      <c r="F138" s="4">
        <f t="shared" si="5"/>
        <v>162</v>
      </c>
      <c r="G138" s="4">
        <v>1</v>
      </c>
    </row>
    <row r="139" spans="1:7" ht="15" customHeight="1" x14ac:dyDescent="0.25">
      <c r="A139" s="3" t="s">
        <v>139</v>
      </c>
      <c r="B139" s="4">
        <v>850</v>
      </c>
      <c r="C139" s="4">
        <f t="shared" si="4"/>
        <v>851</v>
      </c>
      <c r="D139" s="4">
        <v>1</v>
      </c>
      <c r="E139" s="4">
        <v>512</v>
      </c>
      <c r="F139" s="4">
        <f t="shared" si="5"/>
        <v>512</v>
      </c>
      <c r="G139" s="4">
        <v>0</v>
      </c>
    </row>
    <row r="140" spans="1:7" ht="15" customHeight="1" x14ac:dyDescent="0.25">
      <c r="A140" s="3" t="s">
        <v>140</v>
      </c>
      <c r="B140" s="4">
        <v>949.15</v>
      </c>
      <c r="C140" s="4">
        <f t="shared" si="4"/>
        <v>953.18999999999994</v>
      </c>
      <c r="D140" s="4">
        <v>4.04</v>
      </c>
      <c r="E140" s="4">
        <v>4.6109999999999998</v>
      </c>
      <c r="F140" s="4">
        <f t="shared" si="5"/>
        <v>7.2609999999999992</v>
      </c>
      <c r="G140" s="4">
        <v>2.65</v>
      </c>
    </row>
    <row r="141" spans="1:7" ht="15" customHeight="1" x14ac:dyDescent="0.25">
      <c r="A141" s="3" t="s">
        <v>141</v>
      </c>
      <c r="B141" s="4">
        <v>922</v>
      </c>
      <c r="C141" s="4">
        <f t="shared" si="4"/>
        <v>931</v>
      </c>
      <c r="D141" s="4">
        <v>9</v>
      </c>
      <c r="E141" s="4">
        <v>148</v>
      </c>
      <c r="F141" s="4">
        <f t="shared" si="5"/>
        <v>150</v>
      </c>
      <c r="G141" s="4">
        <v>2</v>
      </c>
    </row>
    <row r="142" spans="1:7" ht="15" customHeight="1" x14ac:dyDescent="0.25">
      <c r="A142" s="3" t="s">
        <v>142</v>
      </c>
      <c r="B142" s="4">
        <v>26.148</v>
      </c>
      <c r="C142" s="4">
        <f t="shared" si="4"/>
        <v>27.812999999999999</v>
      </c>
      <c r="D142" s="4">
        <v>1.665</v>
      </c>
      <c r="E142" s="4">
        <v>17.151</v>
      </c>
      <c r="F142" s="4">
        <f t="shared" si="5"/>
        <v>18.242999999999999</v>
      </c>
      <c r="G142" s="4">
        <v>1.0920000000000001</v>
      </c>
    </row>
    <row r="143" spans="1:7" ht="15" customHeight="1" x14ac:dyDescent="0.25">
      <c r="A143" s="3" t="s">
        <v>143</v>
      </c>
      <c r="B143" s="4">
        <v>675</v>
      </c>
      <c r="C143" s="4">
        <f t="shared" si="4"/>
        <v>678</v>
      </c>
      <c r="D143" s="4">
        <v>3</v>
      </c>
      <c r="E143" s="4">
        <v>360</v>
      </c>
      <c r="F143" s="4">
        <f t="shared" si="5"/>
        <v>362</v>
      </c>
      <c r="G143" s="4">
        <v>2</v>
      </c>
    </row>
    <row r="144" spans="1:7" ht="15" customHeight="1" x14ac:dyDescent="0.25">
      <c r="A144" s="3" t="s">
        <v>144</v>
      </c>
      <c r="B144" s="4">
        <v>1283</v>
      </c>
      <c r="C144" s="4">
        <f t="shared" si="4"/>
        <v>1300</v>
      </c>
      <c r="D144" s="4">
        <v>17</v>
      </c>
      <c r="E144" s="4">
        <v>54</v>
      </c>
      <c r="F144" s="4">
        <f t="shared" si="5"/>
        <v>56</v>
      </c>
      <c r="G144" s="4">
        <v>2</v>
      </c>
    </row>
    <row r="145" spans="1:7" ht="15" customHeight="1" x14ac:dyDescent="0.25">
      <c r="A145" s="3" t="s">
        <v>145</v>
      </c>
      <c r="B145" s="4">
        <v>640.66700000000003</v>
      </c>
      <c r="C145" s="4">
        <f t="shared" si="4"/>
        <v>643.77800000000002</v>
      </c>
      <c r="D145" s="4">
        <v>3.1110000000000002</v>
      </c>
      <c r="E145" s="4">
        <v>352.91699999999997</v>
      </c>
      <c r="F145" s="4">
        <f t="shared" si="5"/>
        <v>354.90299999999996</v>
      </c>
      <c r="G145" s="4">
        <v>1.986</v>
      </c>
    </row>
    <row r="146" spans="1:7" ht="15" customHeight="1" x14ac:dyDescent="0.25">
      <c r="A146" s="3" t="s">
        <v>146</v>
      </c>
      <c r="B146" s="4">
        <v>853.16700000000003</v>
      </c>
      <c r="C146" s="4">
        <f t="shared" si="4"/>
        <v>860</v>
      </c>
      <c r="D146" s="4">
        <v>6.8330000000000002</v>
      </c>
      <c r="E146" s="4">
        <v>54.832999999999998</v>
      </c>
      <c r="F146" s="4">
        <f t="shared" si="5"/>
        <v>55</v>
      </c>
      <c r="G146" s="4">
        <v>0.16700000000000001</v>
      </c>
    </row>
    <row r="147" spans="1:7" ht="15" customHeight="1" x14ac:dyDescent="0.25">
      <c r="A147" s="3" t="s">
        <v>147</v>
      </c>
      <c r="B147" s="4">
        <v>1825</v>
      </c>
      <c r="C147" s="4">
        <f t="shared" si="4"/>
        <v>1843</v>
      </c>
      <c r="D147" s="4">
        <v>18</v>
      </c>
      <c r="E147" s="4">
        <v>694</v>
      </c>
      <c r="F147" s="4">
        <f t="shared" si="5"/>
        <v>698</v>
      </c>
      <c r="G147" s="4">
        <v>4</v>
      </c>
    </row>
    <row r="148" spans="1:7" ht="15" customHeight="1" x14ac:dyDescent="0.25">
      <c r="A148" s="3" t="s">
        <v>148</v>
      </c>
      <c r="B148" s="4">
        <v>531</v>
      </c>
      <c r="C148" s="4">
        <f t="shared" si="4"/>
        <v>535</v>
      </c>
      <c r="D148" s="4">
        <v>4</v>
      </c>
      <c r="E148" s="4">
        <v>272</v>
      </c>
      <c r="F148" s="4">
        <f t="shared" si="5"/>
        <v>273.83300000000003</v>
      </c>
      <c r="G148" s="4">
        <v>1.833</v>
      </c>
    </row>
    <row r="149" spans="1:7" ht="15" customHeight="1" x14ac:dyDescent="0.25">
      <c r="A149" s="3" t="s">
        <v>149</v>
      </c>
      <c r="B149" s="4">
        <v>516.16200000000003</v>
      </c>
      <c r="C149" s="4">
        <f t="shared" si="4"/>
        <v>517</v>
      </c>
      <c r="D149" s="4">
        <v>0.83799999999999997</v>
      </c>
      <c r="E149" s="4">
        <v>237.19300000000001</v>
      </c>
      <c r="F149" s="4">
        <f t="shared" si="5"/>
        <v>238</v>
      </c>
      <c r="G149" s="4">
        <v>0.80700000000000005</v>
      </c>
    </row>
    <row r="150" spans="1:7" ht="15" customHeight="1" x14ac:dyDescent="0.25">
      <c r="A150" s="3" t="s">
        <v>150</v>
      </c>
      <c r="B150" s="4">
        <v>66</v>
      </c>
      <c r="C150" s="4">
        <f t="shared" si="4"/>
        <v>67</v>
      </c>
      <c r="D150" s="4">
        <v>1</v>
      </c>
      <c r="E150" s="4">
        <v>48.332999999999998</v>
      </c>
      <c r="F150" s="4">
        <f t="shared" si="5"/>
        <v>48.332999999999998</v>
      </c>
      <c r="G150" s="4">
        <v>0</v>
      </c>
    </row>
    <row r="151" spans="1:7" ht="15" customHeight="1" x14ac:dyDescent="0.25">
      <c r="A151" s="3" t="s">
        <v>151</v>
      </c>
      <c r="B151" s="4">
        <v>471</v>
      </c>
      <c r="C151" s="4">
        <f t="shared" si="4"/>
        <v>475</v>
      </c>
      <c r="D151" s="4">
        <v>4</v>
      </c>
      <c r="E151" s="4">
        <v>224</v>
      </c>
      <c r="F151" s="4">
        <f t="shared" si="5"/>
        <v>225</v>
      </c>
      <c r="G151" s="4">
        <v>1</v>
      </c>
    </row>
    <row r="152" spans="1:7" ht="15" customHeight="1" x14ac:dyDescent="0.25">
      <c r="A152" s="3" t="s">
        <v>152</v>
      </c>
      <c r="B152" s="4">
        <v>361.69</v>
      </c>
      <c r="C152" s="4">
        <f t="shared" si="4"/>
        <v>365.73</v>
      </c>
      <c r="D152" s="4">
        <v>4.04</v>
      </c>
      <c r="E152" s="4">
        <v>182.41900000000001</v>
      </c>
      <c r="F152" s="4">
        <f t="shared" si="5"/>
        <v>185.06900000000002</v>
      </c>
      <c r="G152" s="4">
        <v>2.65</v>
      </c>
    </row>
    <row r="153" spans="1:7" ht="15" customHeight="1" x14ac:dyDescent="0.25">
      <c r="A153" s="3" t="s">
        <v>153</v>
      </c>
      <c r="B153" s="4">
        <v>733</v>
      </c>
      <c r="C153" s="4">
        <f t="shared" si="4"/>
        <v>739</v>
      </c>
      <c r="D153" s="4">
        <v>6</v>
      </c>
      <c r="E153" s="4">
        <v>315</v>
      </c>
      <c r="F153" s="4">
        <f t="shared" si="5"/>
        <v>316</v>
      </c>
      <c r="G153" s="4">
        <v>1</v>
      </c>
    </row>
    <row r="154" spans="1:7" ht="15" customHeight="1" x14ac:dyDescent="0.25">
      <c r="A154" s="3" t="s">
        <v>154</v>
      </c>
      <c r="B154" s="4">
        <v>331.9</v>
      </c>
      <c r="C154" s="4">
        <f t="shared" si="4"/>
        <v>331.9</v>
      </c>
      <c r="D154" s="4">
        <v>0</v>
      </c>
      <c r="E154" s="4">
        <v>190</v>
      </c>
      <c r="F154" s="4">
        <f t="shared" si="5"/>
        <v>190</v>
      </c>
      <c r="G154" s="4">
        <v>0</v>
      </c>
    </row>
    <row r="155" spans="1:7" ht="15" customHeight="1" x14ac:dyDescent="0.25">
      <c r="A155" s="3" t="s">
        <v>155</v>
      </c>
      <c r="B155" s="4">
        <v>22</v>
      </c>
      <c r="C155" s="4">
        <f t="shared" si="4"/>
        <v>24.167000000000002</v>
      </c>
      <c r="D155" s="4">
        <v>2.1669999999999998</v>
      </c>
      <c r="E155" s="4">
        <v>16</v>
      </c>
      <c r="F155" s="4">
        <f t="shared" si="5"/>
        <v>17.667000000000002</v>
      </c>
      <c r="G155" s="4">
        <v>1.667</v>
      </c>
    </row>
    <row r="156" spans="1:7" ht="15" customHeight="1" x14ac:dyDescent="0.25">
      <c r="A156" s="3" t="s">
        <v>156</v>
      </c>
      <c r="B156" s="4">
        <v>677</v>
      </c>
      <c r="C156" s="4">
        <f t="shared" si="4"/>
        <v>693</v>
      </c>
      <c r="D156" s="4">
        <v>16</v>
      </c>
      <c r="E156" s="4">
        <v>356</v>
      </c>
      <c r="F156" s="4">
        <f t="shared" si="5"/>
        <v>359</v>
      </c>
      <c r="G156" s="4">
        <v>3</v>
      </c>
    </row>
    <row r="157" spans="1:7" ht="15" customHeight="1" x14ac:dyDescent="0.25">
      <c r="A157" s="3" t="s">
        <v>157</v>
      </c>
      <c r="B157" s="4">
        <v>673</v>
      </c>
      <c r="C157" s="4">
        <f t="shared" si="4"/>
        <v>678</v>
      </c>
      <c r="D157" s="4">
        <v>5</v>
      </c>
      <c r="E157" s="4">
        <v>253</v>
      </c>
      <c r="F157" s="4">
        <f t="shared" si="5"/>
        <v>255</v>
      </c>
      <c r="G157" s="4">
        <v>2</v>
      </c>
    </row>
    <row r="158" spans="1:7" ht="15" customHeight="1" x14ac:dyDescent="0.25">
      <c r="A158" s="3" t="s">
        <v>158</v>
      </c>
      <c r="B158" s="4">
        <v>425.48200000000003</v>
      </c>
      <c r="C158" s="4">
        <f t="shared" si="4"/>
        <v>425.48200000000003</v>
      </c>
      <c r="D158" s="4">
        <v>0</v>
      </c>
      <c r="E158" s="4">
        <v>194.15700000000001</v>
      </c>
      <c r="F158" s="4">
        <f t="shared" si="5"/>
        <v>194.15700000000001</v>
      </c>
      <c r="G158" s="4">
        <v>0</v>
      </c>
    </row>
    <row r="159" spans="1:7" ht="15" customHeight="1" x14ac:dyDescent="0.25">
      <c r="A159" s="3" t="s">
        <v>159</v>
      </c>
      <c r="B159" s="4">
        <v>1960</v>
      </c>
      <c r="C159" s="4">
        <f t="shared" si="4"/>
        <v>1969</v>
      </c>
      <c r="D159" s="4">
        <v>9</v>
      </c>
      <c r="E159" s="4">
        <v>84</v>
      </c>
      <c r="F159" s="4">
        <f t="shared" si="5"/>
        <v>86</v>
      </c>
      <c r="G159" s="4">
        <v>2</v>
      </c>
    </row>
    <row r="160" spans="1:7" ht="15" customHeight="1" x14ac:dyDescent="0.25">
      <c r="A160" s="3" t="s">
        <v>160</v>
      </c>
      <c r="B160" s="4">
        <v>378</v>
      </c>
      <c r="C160" s="4">
        <f t="shared" si="4"/>
        <v>380</v>
      </c>
      <c r="D160" s="4">
        <v>2</v>
      </c>
      <c r="E160" s="4">
        <v>273</v>
      </c>
      <c r="F160" s="4">
        <f t="shared" si="5"/>
        <v>274</v>
      </c>
      <c r="G160" s="4">
        <v>1</v>
      </c>
    </row>
    <row r="161" spans="1:7" ht="15" customHeight="1" x14ac:dyDescent="0.25">
      <c r="A161" s="3" t="s">
        <v>161</v>
      </c>
      <c r="B161" s="4">
        <v>813</v>
      </c>
      <c r="C161" s="4">
        <f t="shared" si="4"/>
        <v>826</v>
      </c>
      <c r="D161" s="4">
        <v>13</v>
      </c>
      <c r="E161" s="4">
        <v>415</v>
      </c>
      <c r="F161" s="4">
        <f t="shared" si="5"/>
        <v>418</v>
      </c>
      <c r="G161" s="4">
        <v>3</v>
      </c>
    </row>
    <row r="162" spans="1:7" ht="15" customHeight="1" x14ac:dyDescent="0.25">
      <c r="A162" s="3" t="s">
        <v>162</v>
      </c>
      <c r="B162" s="4">
        <v>362</v>
      </c>
      <c r="C162" s="4">
        <f t="shared" si="4"/>
        <v>376</v>
      </c>
      <c r="D162" s="4">
        <v>14</v>
      </c>
      <c r="E162" s="4">
        <v>84</v>
      </c>
      <c r="F162" s="4">
        <f t="shared" si="5"/>
        <v>86</v>
      </c>
      <c r="G162" s="4">
        <v>2</v>
      </c>
    </row>
    <row r="163" spans="1:7" ht="15" customHeight="1" x14ac:dyDescent="0.25">
      <c r="A163" s="3" t="s">
        <v>163</v>
      </c>
      <c r="B163" s="4">
        <v>372.14299999999997</v>
      </c>
      <c r="C163" s="4">
        <f t="shared" si="4"/>
        <v>375.24599999999998</v>
      </c>
      <c r="D163" s="4">
        <v>3.1030000000000002</v>
      </c>
      <c r="E163" s="4">
        <v>283.70299999999997</v>
      </c>
      <c r="F163" s="4">
        <f t="shared" si="5"/>
        <v>285.75599999999997</v>
      </c>
      <c r="G163" s="4">
        <v>2.0529999999999999</v>
      </c>
    </row>
    <row r="164" spans="1:7" ht="15" customHeight="1" x14ac:dyDescent="0.25">
      <c r="A164" s="3" t="s">
        <v>164</v>
      </c>
      <c r="B164" s="4">
        <v>45.744999999999997</v>
      </c>
      <c r="C164" s="4">
        <f t="shared" si="4"/>
        <v>45.760999999999996</v>
      </c>
      <c r="D164" s="4">
        <v>1.6E-2</v>
      </c>
      <c r="E164" s="4">
        <v>31.625</v>
      </c>
      <c r="F164" s="4">
        <f t="shared" si="5"/>
        <v>31.625</v>
      </c>
      <c r="G164" s="4">
        <v>0</v>
      </c>
    </row>
    <row r="165" spans="1:7" ht="15" customHeight="1" x14ac:dyDescent="0.25">
      <c r="A165" s="3" t="s">
        <v>165</v>
      </c>
      <c r="B165" s="4">
        <v>25</v>
      </c>
      <c r="C165" s="4">
        <f t="shared" si="4"/>
        <v>29</v>
      </c>
      <c r="D165" s="4">
        <v>4</v>
      </c>
      <c r="E165" s="4">
        <v>13</v>
      </c>
      <c r="F165" s="4">
        <f t="shared" si="5"/>
        <v>14</v>
      </c>
      <c r="G165" s="4">
        <v>1</v>
      </c>
    </row>
    <row r="166" spans="1:7" ht="15" customHeight="1" x14ac:dyDescent="0.25">
      <c r="A166" s="3" t="s">
        <v>166</v>
      </c>
      <c r="B166" s="4">
        <v>412</v>
      </c>
      <c r="C166" s="4">
        <f t="shared" si="4"/>
        <v>412</v>
      </c>
      <c r="D166" s="4">
        <v>0</v>
      </c>
      <c r="E166" s="4">
        <v>197</v>
      </c>
      <c r="F166" s="4">
        <f t="shared" si="5"/>
        <v>197</v>
      </c>
      <c r="G166" s="4">
        <v>0</v>
      </c>
    </row>
    <row r="167" spans="1:7" ht="15" customHeight="1" x14ac:dyDescent="0.25">
      <c r="A167" s="3" t="s">
        <v>167</v>
      </c>
      <c r="B167" s="4">
        <v>846</v>
      </c>
      <c r="C167" s="4">
        <f t="shared" si="4"/>
        <v>849</v>
      </c>
      <c r="D167" s="4">
        <v>3</v>
      </c>
      <c r="E167" s="4">
        <v>366</v>
      </c>
      <c r="F167" s="4">
        <f t="shared" si="5"/>
        <v>367</v>
      </c>
      <c r="G167" s="4">
        <v>1</v>
      </c>
    </row>
    <row r="168" spans="1:7" ht="15" customHeight="1" x14ac:dyDescent="0.25">
      <c r="A168" s="3" t="s">
        <v>168</v>
      </c>
      <c r="B168" s="4">
        <v>6.1109999999999998</v>
      </c>
      <c r="C168" s="4">
        <f t="shared" si="4"/>
        <v>6.1109999999999998</v>
      </c>
      <c r="D168" s="4">
        <v>0</v>
      </c>
      <c r="E168" s="4">
        <v>12.842000000000001</v>
      </c>
      <c r="F168" s="4">
        <f t="shared" si="5"/>
        <v>12.842000000000001</v>
      </c>
      <c r="G168" s="4">
        <v>0</v>
      </c>
    </row>
    <row r="169" spans="1:7" ht="15" customHeight="1" x14ac:dyDescent="0.25">
      <c r="A169" s="3" t="s">
        <v>169</v>
      </c>
      <c r="B169" s="4">
        <v>777</v>
      </c>
      <c r="C169" s="4">
        <f t="shared" si="4"/>
        <v>782</v>
      </c>
      <c r="D169" s="4">
        <v>5</v>
      </c>
      <c r="E169" s="4">
        <v>1</v>
      </c>
      <c r="F169" s="4">
        <f t="shared" si="5"/>
        <v>1</v>
      </c>
      <c r="G169" s="4">
        <v>0</v>
      </c>
    </row>
    <row r="170" spans="1:7" ht="15" customHeight="1" x14ac:dyDescent="0.25">
      <c r="A170" s="3" t="s">
        <v>170</v>
      </c>
      <c r="B170" s="4">
        <v>8.08</v>
      </c>
      <c r="C170" s="4">
        <f t="shared" si="4"/>
        <v>16.16</v>
      </c>
      <c r="D170" s="4">
        <v>8.08</v>
      </c>
      <c r="E170" s="4">
        <v>5.3</v>
      </c>
      <c r="F170" s="4">
        <f t="shared" si="5"/>
        <v>10.6</v>
      </c>
      <c r="G170" s="4">
        <v>5.3</v>
      </c>
    </row>
    <row r="171" spans="1:7" ht="15" customHeight="1" x14ac:dyDescent="0.25">
      <c r="A171" s="3" t="s">
        <v>171</v>
      </c>
      <c r="B171" s="4">
        <v>378.21100000000001</v>
      </c>
      <c r="C171" s="4">
        <f t="shared" si="4"/>
        <v>380.44100000000003</v>
      </c>
      <c r="D171" s="4">
        <v>2.23</v>
      </c>
      <c r="E171" s="4">
        <v>81.88</v>
      </c>
      <c r="F171" s="4">
        <f t="shared" si="5"/>
        <v>83.302999999999997</v>
      </c>
      <c r="G171" s="4">
        <v>1.423</v>
      </c>
    </row>
    <row r="172" spans="1:7" ht="15" customHeight="1" x14ac:dyDescent="0.25">
      <c r="A172" s="3" t="s">
        <v>172</v>
      </c>
      <c r="B172" s="4">
        <v>234.1</v>
      </c>
      <c r="C172" s="4">
        <f t="shared" si="4"/>
        <v>239.87</v>
      </c>
      <c r="D172" s="4">
        <v>5.77</v>
      </c>
      <c r="E172" s="4">
        <v>153.16</v>
      </c>
      <c r="F172" s="4">
        <f t="shared" si="5"/>
        <v>155.03</v>
      </c>
      <c r="G172" s="4">
        <v>1.87</v>
      </c>
    </row>
    <row r="173" spans="1:7" ht="15" customHeight="1" x14ac:dyDescent="0.25">
      <c r="A173" s="3" t="s">
        <v>173</v>
      </c>
      <c r="B173" s="4">
        <v>3256</v>
      </c>
      <c r="C173" s="4">
        <f t="shared" si="4"/>
        <v>3275</v>
      </c>
      <c r="D173" s="4">
        <v>19</v>
      </c>
      <c r="E173" s="4"/>
      <c r="F173" s="4"/>
      <c r="G173" s="4"/>
    </row>
    <row r="174" spans="1:7" ht="15" customHeight="1" x14ac:dyDescent="0.25">
      <c r="A174" s="6" t="s">
        <v>176</v>
      </c>
      <c r="B174" s="4"/>
      <c r="C174" s="4"/>
      <c r="D174" s="4"/>
      <c r="E174" s="4"/>
      <c r="F174" s="4"/>
      <c r="G174" s="4"/>
    </row>
    <row r="175" spans="1:7" ht="15" customHeight="1" x14ac:dyDescent="0.25">
      <c r="A175" s="3" t="s">
        <v>11</v>
      </c>
      <c r="B175" s="4"/>
      <c r="C175" s="4"/>
      <c r="D175" s="4"/>
      <c r="E175" s="4">
        <v>296.25299999999999</v>
      </c>
      <c r="F175" s="4">
        <f t="shared" si="5"/>
        <v>296.25299999999999</v>
      </c>
      <c r="G175" s="4"/>
    </row>
    <row r="176" spans="1:7" ht="15" customHeight="1" x14ac:dyDescent="0.25">
      <c r="A176" s="7" t="s">
        <v>174</v>
      </c>
      <c r="B176" s="4"/>
      <c r="C176" s="4"/>
      <c r="D176" s="4">
        <f t="shared" ref="C176:G176" si="6">SUM(D6:D175)</f>
        <v>867.40999999999963</v>
      </c>
      <c r="E176" s="4"/>
      <c r="F176" s="4"/>
      <c r="G176" s="4">
        <f t="shared" si="6"/>
        <v>279.36000000000007</v>
      </c>
    </row>
    <row r="179" spans="1:8" x14ac:dyDescent="0.25">
      <c r="A179" s="12" t="s">
        <v>177</v>
      </c>
      <c r="B179" s="12"/>
      <c r="C179" s="12"/>
      <c r="D179" s="12"/>
      <c r="E179" s="12"/>
      <c r="F179" s="12"/>
      <c r="G179" s="12"/>
      <c r="H179" s="8"/>
    </row>
    <row r="181" spans="1:8" x14ac:dyDescent="0.25">
      <c r="D181" s="9"/>
      <c r="G181" s="9"/>
    </row>
    <row r="183" spans="1:8" x14ac:dyDescent="0.25">
      <c r="D183" s="11"/>
      <c r="G183" s="11"/>
    </row>
    <row r="188" spans="1:8" x14ac:dyDescent="0.25">
      <c r="D188" s="9"/>
    </row>
  </sheetData>
  <mergeCells count="7">
    <mergeCell ref="A179:G179"/>
    <mergeCell ref="A1:G1"/>
    <mergeCell ref="A2:G2"/>
    <mergeCell ref="B3:D3"/>
    <mergeCell ref="E3:G3"/>
    <mergeCell ref="B4:D4"/>
    <mergeCell ref="E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06.2026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2026-06-02T14:41:20Z</cp:lastPrinted>
  <dcterms:created xsi:type="dcterms:W3CDTF">2026-06-01T07:56:04Z</dcterms:created>
  <dcterms:modified xsi:type="dcterms:W3CDTF">2026-08-04T09:16:54Z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24.2.10.0</vt:lpwstr>
  </property>
</Properties>
</file>